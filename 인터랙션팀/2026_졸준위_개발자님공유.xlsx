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<sst xmlns="http://schemas.openxmlformats.org/spreadsheetml/2006/main" count="723" uniqueCount="410">
  <si>
    <t>학번 이름</t>
  </si>
  <si>
    <t>name</t>
  </si>
  <si>
    <t>display_name</t>
  </si>
  <si>
    <t>course</t>
  </si>
  <si>
    <t>major</t>
  </si>
  <si>
    <t>word_ko</t>
  </si>
  <si>
    <t>word_en</t>
  </si>
  <si>
    <t>asset_id</t>
  </si>
  <si>
    <t>reason</t>
  </si>
  <si>
    <t>작성한 답변이 졸업전시 인터랙션 및 관련 전시 콘텐츠에 활용되는 것에 동의하시나요?</t>
  </si>
  <si>
    <t>note</t>
  </si>
  <si>
    <t>work_1</t>
  </si>
  <si>
    <t>work_2</t>
  </si>
  <si>
    <t>work_explanation</t>
  </si>
  <si>
    <t>non_participants</t>
  </si>
  <si>
    <t>remarks</t>
  </si>
  <si>
    <t>이수아</t>
  </si>
  <si>
    <t>18 이수아</t>
  </si>
  <si>
    <t>아이덴티티캡스톤디자인</t>
  </si>
  <si>
    <t>일상</t>
  </si>
  <si>
    <t>everyday</t>
  </si>
  <si>
    <t>33-everyday</t>
  </si>
  <si>
    <t>디자인과 예술이 제 일상에 빠질 수 없는 존재라는 것을 알게 되어 시작했습니다.</t>
  </si>
  <si>
    <t>동의합니다</t>
  </si>
  <si>
    <t>SHABE TREE</t>
  </si>
  <si>
    <t>추후 입력 예정</t>
  </si>
  <si>
    <t>2명</t>
  </si>
  <si>
    <t>최수빈</t>
  </si>
  <si>
    <t>19 최수빈</t>
  </si>
  <si>
    <t>디지털미디어 캡스톤디자인프로젝트, 아이덴티티캡스톤디자인</t>
  </si>
  <si>
    <t>애정</t>
  </si>
  <si>
    <t>affection</t>
  </si>
  <si>
    <t>07-affection</t>
  </si>
  <si>
    <t>필기도구를 모으는 걸 좋아하다 보니 관심이 생겨 디자인을 시작하게 되었습니다.</t>
  </si>
  <si>
    <t>NAUM RACE</t>
  </si>
  <si>
    <t>SEGNO MUSIC FESTIVAL</t>
  </si>
  <si>
    <t>이준석</t>
  </si>
  <si>
    <t>20 이준석</t>
  </si>
  <si>
    <t>제품및운송기기 캡스톤디자인, 제품시스템캡스톤디자인</t>
  </si>
  <si>
    <t>모험</t>
  </si>
  <si>
    <t>adventure</t>
  </si>
  <si>
    <t>20-adventure</t>
  </si>
  <si>
    <t>익숙한 길보다 새로운 것을 시도하는 과정 자체에서 즐거움을 발견하면서 디자인을 시작하게 되었습니다.</t>
  </si>
  <si>
    <t>zibi</t>
  </si>
  <si>
    <t>HOWDY</t>
  </si>
  <si>
    <t>김경덕</t>
  </si>
  <si>
    <t>20 김경덕</t>
  </si>
  <si>
    <t>설렘</t>
  </si>
  <si>
    <t>excitement</t>
  </si>
  <si>
    <t>17-excitement</t>
  </si>
  <si>
    <t>예쁜 디자인을 뵜을 때 두근거림이 디자인을 놓지 못하게 합니다</t>
  </si>
  <si>
    <t>ReRoot</t>
  </si>
  <si>
    <t>LOBBY CONCIERGE</t>
  </si>
  <si>
    <t>박범수</t>
  </si>
  <si>
    <t>20 박범수</t>
  </si>
  <si>
    <t>스침</t>
  </si>
  <si>
    <t>encounter</t>
  </si>
  <si>
    <t>26-encounter</t>
  </si>
  <si>
    <t>우연히 스쳐 지나갈 수도 있는 학문이었지만 오래 머물게 되었다</t>
  </si>
  <si>
    <t>ONMI</t>
  </si>
  <si>
    <t>sul saem</t>
  </si>
  <si>
    <t>20011997박민경</t>
  </si>
  <si>
    <t>권동혁</t>
  </si>
  <si>
    <t>20 권동혁</t>
  </si>
  <si>
    <t>창조</t>
  </si>
  <si>
    <t>creation</t>
  </si>
  <si>
    <t>38-creation</t>
  </si>
  <si>
    <t>뭐던 만드는게 즐거웠다, 디자이너는 못 만드는게 없다고 생각했었고, 배워보니까 이는 사실이다.</t>
  </si>
  <si>
    <t>for-D</t>
  </si>
  <si>
    <t>22012055지서은</t>
  </si>
  <si>
    <t>진민석</t>
  </si>
  <si>
    <t>20 진민석</t>
  </si>
  <si>
    <t>아이스브레이킹</t>
  </si>
  <si>
    <t>icebreaking</t>
  </si>
  <si>
    <t>27-icebreaking</t>
  </si>
  <si>
    <t>어떻게하면 세상과 친밀할 수 있을까의 고민끝에, 저에게 어색하지 않고 가장 자연스러운 접근법이 디자인이었습니다.</t>
  </si>
  <si>
    <t>Libera</t>
  </si>
  <si>
    <t>박한울</t>
  </si>
  <si>
    <t>20 박한울</t>
  </si>
  <si>
    <t>호기심</t>
  </si>
  <si>
    <t>curiosity</t>
  </si>
  <si>
    <t>02-curiosity</t>
  </si>
  <si>
    <t>공부 머리가 아니기에, 어릴 때부터 관심있던 그림 관련 업종을 자연스럽게 선택 및 시작</t>
  </si>
  <si>
    <t>Journey</t>
  </si>
  <si>
    <t>최한얼</t>
  </si>
  <si>
    <t>20 최한얼</t>
  </si>
  <si>
    <t>즐거움</t>
  </si>
  <si>
    <t>joy</t>
  </si>
  <si>
    <t>01-joy</t>
  </si>
  <si>
    <t>자전거 그림을 그리던게 실제로 제작되면 좋겠다는 마음에 시작하게 되었습니다.</t>
  </si>
  <si>
    <t>밀도</t>
  </si>
  <si>
    <t>사물팔자</t>
  </si>
  <si>
    <t>엄지혁</t>
  </si>
  <si>
    <t>20 엄지혁</t>
  </si>
  <si>
    <t>웰니스</t>
  </si>
  <si>
    <t>well-being</t>
  </si>
  <si>
    <t>31-well-being</t>
  </si>
  <si>
    <t>우리가 더 나은 삶, 쾌적한 삶을 위해 생각하고 창조하고 실험하고 노력하는 모든 행위가 디자인이기에 선택하였습니다.</t>
  </si>
  <si>
    <t>김승민</t>
  </si>
  <si>
    <t>20 김승민</t>
  </si>
  <si>
    <t>자동차 디자인 관련 다큐멘터리를 보며 자동차 디자인에 대한 떨림을 느꼈고, 그것이 내 첫 시동이었다.</t>
  </si>
  <si>
    <t>N : LOOP</t>
  </si>
  <si>
    <t>PBR</t>
  </si>
  <si>
    <t>이상학</t>
  </si>
  <si>
    <t>20 이상학</t>
  </si>
  <si>
    <t>만들기</t>
  </si>
  <si>
    <t>making</t>
  </si>
  <si>
    <t>18-making</t>
  </si>
  <si>
    <t>어릴 때부터 무언가를 만드는 것을 좋아했습니다. 머릿속으로 상상한 것을 실제로 만들어내는 과정에 매력을 느꼈고, 그 마음은 지금도 디자인을 통해 계속 이어지고 있습니다.</t>
  </si>
  <si>
    <t>FRMFRM</t>
  </si>
  <si>
    <t>ZZZ</t>
  </si>
  <si>
    <t>이정무</t>
  </si>
  <si>
    <t>20 이정무</t>
  </si>
  <si>
    <t>발견</t>
  </si>
  <si>
    <t>discovery</t>
  </si>
  <si>
    <t>22-discovery</t>
  </si>
  <si>
    <t>유심히 보지 않으면 모를 문제나 현상들을 발견하고 그것을 시각적인 결과물로 풀어내는것이 즐겁다고 생각했던 것 같아요.</t>
  </si>
  <si>
    <t>PATINA</t>
  </si>
  <si>
    <t>WHAT A PEACEFUL NEVERLAND</t>
  </si>
  <si>
    <t>김상민</t>
  </si>
  <si>
    <t>20 김상민</t>
  </si>
  <si>
    <t>도전</t>
  </si>
  <si>
    <t>challenge</t>
  </si>
  <si>
    <t>16-challenge</t>
  </si>
  <si>
    <t>여러 사람들과 영역들 사이를 이어주는 다리가 될 수 있을 것 같았다.</t>
  </si>
  <si>
    <t>NEUE PHILOSOPHER UNION</t>
  </si>
  <si>
    <t>이은주</t>
  </si>
  <si>
    <t>21 이은주</t>
  </si>
  <si>
    <t>표현</t>
  </si>
  <si>
    <t>expression</t>
  </si>
  <si>
    <t>04-expression</t>
  </si>
  <si>
    <t>머릿속으로만 생각하던 것들을 실제로 만들고, 그것을 직접 표현해보고 싶다는 마음에서 디자인을 시작하게 되었습니다.</t>
  </si>
  <si>
    <t>FLAP</t>
  </si>
  <si>
    <t>HOVIO</t>
  </si>
  <si>
    <t>최성경</t>
  </si>
  <si>
    <t>21 최성경</t>
  </si>
  <si>
    <t>이야기</t>
  </si>
  <si>
    <t>story</t>
  </si>
  <si>
    <t>32-story</t>
  </si>
  <si>
    <t>그림을 그리면서 이야기를 담고 의미가 생기는 과정을 좋아했습니다. 그러다 점점 그림을 넘어 더 다양한 방식으로 이야기를 표현할 수 있는 것이 디자인이라는 생각하게 됐고, 자연스럽게 디자인을 시작하게 됐습니다.</t>
  </si>
  <si>
    <t>FLARIA</t>
  </si>
  <si>
    <t>구설귀</t>
  </si>
  <si>
    <t>임준우</t>
  </si>
  <si>
    <t>21 임준우</t>
  </si>
  <si>
    <t>꿈</t>
  </si>
  <si>
    <t>dream</t>
  </si>
  <si>
    <t>03-dream</t>
  </si>
  <si>
    <t>여러 경험들을 하면서, 좋은 디자이너가 되고 싶다는 생각을 했습니다.</t>
  </si>
  <si>
    <t>Free to Face</t>
  </si>
  <si>
    <t>송현수</t>
  </si>
  <si>
    <t>21 송현수</t>
  </si>
  <si>
    <t>선물</t>
  </si>
  <si>
    <t>gift</t>
  </si>
  <si>
    <t>43-gift</t>
  </si>
  <si>
    <t>저를 몰라도 괜찮습니다. 제 디자인으로 누군가가 즐거워지는 순간, 그것이 제가 디자인을 시작한 이유입니다.</t>
  </si>
  <si>
    <t>FIT STOP</t>
  </si>
  <si>
    <t>ASCLEPIUS</t>
  </si>
  <si>
    <t>김민선</t>
  </si>
  <si>
    <t>21 김민선</t>
  </si>
  <si>
    <t>탐구</t>
  </si>
  <si>
    <t>exploration</t>
  </si>
  <si>
    <t>10-exploration</t>
  </si>
  <si>
    <t>하나의 문제에도 다양한 해답이 존재한다는 점이 디자인의 가장 큰 매력이라고 생각합니다. 입시 미술을 하며 하나의 주제를 다양한 관점과 방식으로 탐구하고 표현하고 풀어내는 과정에 흥미를 느꼈고, 이러한 경험이 디자인를 시작하고 계속하게 된 계기가 되었습니다.</t>
  </si>
  <si>
    <t>신아영</t>
  </si>
  <si>
    <t>21 신아영</t>
  </si>
  <si>
    <t>시선</t>
  </si>
  <si>
    <t>perspective</t>
  </si>
  <si>
    <t>06-perspective</t>
  </si>
  <si>
    <t>말로 설명하기 어려운, 좋아 보이는 것과 그렇지 않은 것의 차이가 궁금해 디자인에 관심을 갖게 되었습니다.</t>
  </si>
  <si>
    <t>SAI</t>
  </si>
  <si>
    <t>신명원 : 디지털 신당</t>
  </si>
  <si>
    <t>안서연</t>
  </si>
  <si>
    <t>21 안서연</t>
  </si>
  <si>
    <t>오지랖</t>
  </si>
  <si>
    <t>involvement</t>
  </si>
  <si>
    <t>28-involvement</t>
  </si>
  <si>
    <t>이건 이렇게 만들면 더 좋을 텐데...' 하는 참견의 마음으로 디자인을 시작했습니다.
세상의 불편을 굳이 나서서 해결하는 디자이너가 되고 싶습니다.</t>
  </si>
  <si>
    <t>Hey, Nua</t>
  </si>
  <si>
    <t>WayFello</t>
  </si>
  <si>
    <t>장윤진</t>
  </si>
  <si>
    <t>21 장윤진</t>
  </si>
  <si>
    <t>무언가를 표현하는 게 좋아서 미술을 시작하게 되었고 자연스럽게 디자인이라는 분야를 접하게 되었습니다. 다양한 사람들에게 상업적으로 내가 만들어 낸 것이 전해지는 게 좋았습니다.</t>
  </si>
  <si>
    <t>MOLTYPE</t>
  </si>
  <si>
    <t>허유진</t>
  </si>
  <si>
    <t>21 허유진</t>
  </si>
  <si>
    <t>당돌함</t>
  </si>
  <si>
    <t>boldness</t>
  </si>
  <si>
    <t>14-boldness</t>
  </si>
  <si>
    <t>아무것도 모른 채 뛰어든 당돌함이 디자인을 시작하게 된 계기가 되었습니다</t>
  </si>
  <si>
    <t>김병관</t>
  </si>
  <si>
    <t>21 김병관</t>
  </si>
  <si>
    <t>우연</t>
  </si>
  <si>
    <t>chance</t>
  </si>
  <si>
    <t>29-chance</t>
  </si>
  <si>
    <t>미술선생님께서 '넌 산디가 어울릴거같다'고 하셨는데, 시간이 흘러 자연스럽게 제품디자인을 하게됐네요.</t>
  </si>
  <si>
    <t>Beta</t>
  </si>
  <si>
    <t>이현지</t>
  </si>
  <si>
    <t>21 이현지</t>
  </si>
  <si>
    <t>자유</t>
  </si>
  <si>
    <t>freedom</t>
  </si>
  <si>
    <t>08-freedom</t>
  </si>
  <si>
    <t>머릿속에 있는 것을 자유롭게 만들고 표현하고 싶어서 시작하게 되었습니다.</t>
  </si>
  <si>
    <t>OHJOTAK</t>
  </si>
  <si>
    <t>최지훈</t>
  </si>
  <si>
    <t>21 최지훈</t>
  </si>
  <si>
    <t>취향</t>
  </si>
  <si>
    <t>taste</t>
  </si>
  <si>
    <t>09-taste</t>
  </si>
  <si>
    <t>내가 좋아하는 시각적 아름다움을 직접 현실로 구현해내는 일에 흥미를 느껴 디자인을 선택했습니다.</t>
  </si>
  <si>
    <t>Xelra</t>
  </si>
  <si>
    <t>난리블루스</t>
  </si>
  <si>
    <t>호영하</t>
  </si>
  <si>
    <t>21 호영하</t>
  </si>
  <si>
    <t>취미</t>
  </si>
  <si>
    <t>hobby</t>
  </si>
  <si>
    <t>40-hobby</t>
  </si>
  <si>
    <t>독특한 디자인이란 무에서 유를 창조해 나가는 과정이라고 생각하며, 그 과정에서 나오는 모든 아이디어가 각기 다른 결과를 만들어낼 수 있다고 믿기 때문입니다. 그래서 저는 ‘상상력’을 키워드로 선택했습니다.</t>
  </si>
  <si>
    <t>망쳐도 괜찮아</t>
  </si>
  <si>
    <t>김지윤</t>
  </si>
  <si>
    <t>22 김지윤</t>
  </si>
  <si>
    <t>자명</t>
  </si>
  <si>
    <t>inevitability</t>
  </si>
  <si>
    <t>15-inevitability</t>
  </si>
  <si>
    <t>미술은 제 삶에서 너무나도 당연했어요</t>
  </si>
  <si>
    <t>MELO</t>
  </si>
  <si>
    <t>MARS:KIN</t>
  </si>
  <si>
    <t>홍서연</t>
  </si>
  <si>
    <t>22 홍서연</t>
  </si>
  <si>
    <t>그림 그리는 활동이 즐거워서 자연스럽게 디자인을 시작하게 되었습니다.</t>
  </si>
  <si>
    <t>조유진</t>
  </si>
  <si>
    <t>22 조유진</t>
  </si>
  <si>
    <t>재미</t>
  </si>
  <si>
    <t>fun</t>
  </si>
  <si>
    <t>36-fun</t>
  </si>
  <si>
    <t xml:space="preserve">무언가를 만드는 것이 재미있어서 디자인을 시작하게 되었습니다. </t>
  </si>
  <si>
    <t>이지민</t>
  </si>
  <si>
    <t>22 이지민</t>
  </si>
  <si>
    <t>자만</t>
  </si>
  <si>
    <t>arrogance</t>
  </si>
  <si>
    <t>34-arrogance</t>
  </si>
  <si>
    <t>내가 진짜 다른 사람들보다 나은 줄 알았다.</t>
  </si>
  <si>
    <t>이소현</t>
  </si>
  <si>
    <t>22 이소현</t>
  </si>
  <si>
    <t>내가 좋아하는 것들을 구경하고 관찰하고 수집하다가 디자인을 시작하게 되었습니다</t>
  </si>
  <si>
    <t>EWA</t>
  </si>
  <si>
    <t>이채연</t>
  </si>
  <si>
    <t>22 이채연</t>
  </si>
  <si>
    <t>다정함</t>
  </si>
  <si>
    <t>warmth</t>
  </si>
  <si>
    <t>13-warmth</t>
  </si>
  <si>
    <t>일상의 작은 것들을 세심하게 바라보고 다듬는 시선이 좋아 시작하게 되었습니다.</t>
  </si>
  <si>
    <t>Studio. Query</t>
  </si>
  <si>
    <t>Slott</t>
  </si>
  <si>
    <t>이가연</t>
  </si>
  <si>
    <t>22 이가연</t>
  </si>
  <si>
    <t>감명</t>
  </si>
  <si>
    <t>inspiration</t>
  </si>
  <si>
    <t>11-inspiration</t>
  </si>
  <si>
    <t>‘디자인은 세상을 바라보는 시각의 해상도를 높이는 방법 중 하나’라는 말에 감명받아 디자인에 관심을 가지기 시작했습니다.</t>
  </si>
  <si>
    <t>INAWT</t>
  </si>
  <si>
    <t>해피한 척하기, 해-피한 척하기</t>
  </si>
  <si>
    <t>이윤주</t>
  </si>
  <si>
    <t>22 이윤주</t>
  </si>
  <si>
    <t>영화를 보고 영상미와 연출을 공부하다가 자연스럽게 디자인에 관심을 가지게 됐습니다.</t>
  </si>
  <si>
    <t>사이비담</t>
  </si>
  <si>
    <t>원서영</t>
  </si>
  <si>
    <t>22 원서영</t>
  </si>
  <si>
    <t>그림을 그릴 때 재밌어서 시작하게 되었습니다.</t>
  </si>
  <si>
    <t>CELLUMI</t>
  </si>
  <si>
    <t>강하영</t>
  </si>
  <si>
    <t>22 강하영</t>
  </si>
  <si>
    <t>문제를 각자의 시선에서 물리적으로 풀어내는 과정이 즐거워서 시작하게 되었습니다.</t>
  </si>
  <si>
    <t>안소현</t>
  </si>
  <si>
    <t>22 안소현</t>
  </si>
  <si>
    <t>디자인보다는 예체능이라는 큰 분야에 관심이 있었는데 사람의 사고가 시각적으로 구성되고 드러난다는 점에서 디자인에 매력을 느껴 전공하게 되었습니다.</t>
  </si>
  <si>
    <t>황예은</t>
  </si>
  <si>
    <t>22 황예은</t>
  </si>
  <si>
    <t>그림 그리는걸 어릴 때부터 좋아했어서 자연스럽게 미대와 디자인쪽 진학을 결심하게 되었습니다.</t>
  </si>
  <si>
    <t>SERO</t>
  </si>
  <si>
    <t>SANCTUM</t>
  </si>
  <si>
    <t>이유나</t>
  </si>
  <si>
    <t>22 이유나</t>
  </si>
  <si>
    <t>상상</t>
  </si>
  <si>
    <t>imagination</t>
  </si>
  <si>
    <t>05-imagination</t>
  </si>
  <si>
    <t>상상이 현실의 시각적 결과물로 구현되는 과정이 매력적이어서 디자인을 시작하게 되었습니다.</t>
  </si>
  <si>
    <t>CatchA!</t>
  </si>
  <si>
    <t>FRYDAY 180°C</t>
  </si>
  <si>
    <t>김윤아</t>
  </si>
  <si>
    <t>22 김윤아</t>
  </si>
  <si>
    <t>실현</t>
  </si>
  <si>
    <t>realization</t>
  </si>
  <si>
    <t>12-realization</t>
  </si>
  <si>
    <t>상상에 그치던 아이디어를 시각적 형태로 직접 실현하는 것에 매력을 느껴 디자인을 시작하게 되었습니다.</t>
  </si>
  <si>
    <t>OVE</t>
  </si>
  <si>
    <t>파독각</t>
  </si>
  <si>
    <t>장유진</t>
  </si>
  <si>
    <t>22 장유진</t>
  </si>
  <si>
    <t>동경</t>
  </si>
  <si>
    <t>wonder</t>
  </si>
  <si>
    <t>23-wonder</t>
  </si>
  <si>
    <t>동경하는 것들을 나도 직접 만들어보고 싶다는 마음이 자연스럽게 디자인을 하게 만들었습니다.</t>
  </si>
  <si>
    <t>FORTO</t>
  </si>
  <si>
    <t>SPOT LIGHT</t>
  </si>
  <si>
    <t>김선우</t>
  </si>
  <si>
    <t>22 김선우</t>
  </si>
  <si>
    <t>자신감</t>
  </si>
  <si>
    <t>confidence</t>
  </si>
  <si>
    <t>35-confidence</t>
  </si>
  <si>
    <t>어릴 때부터 그림 그리기를 즐겼고, 주변의 칭찬으로 자신감을 얻으며 자연스럽게 디자인을 시작했습니다.</t>
  </si>
  <si>
    <t>TOONG</t>
  </si>
  <si>
    <t>이승민</t>
  </si>
  <si>
    <t>22 이승민</t>
  </si>
  <si>
    <t>멋짐</t>
  </si>
  <si>
    <t>coolness</t>
  </si>
  <si>
    <t>19-coolness</t>
  </si>
  <si>
    <t>게임, 영화, 책, 애니메이션, 프라모델등 이 세상 모든 ”멋짐“의 이면에는 디자인이 작동하기 때문에</t>
  </si>
  <si>
    <t>박은진</t>
  </si>
  <si>
    <t>22 박은진</t>
  </si>
  <si>
    <t>동물을 좋아해서 동물을 위한 디자인을 해보고싶어서 시작했다</t>
  </si>
  <si>
    <t>STRAV</t>
  </si>
  <si>
    <t>장기파업</t>
  </si>
  <si>
    <t>김채연</t>
  </si>
  <si>
    <t>22 김채연</t>
  </si>
  <si>
    <t>새로움</t>
  </si>
  <si>
    <t>novelty</t>
  </si>
  <si>
    <t>25-novelty</t>
  </si>
  <si>
    <t>원래 손으로 만드는 걸 좋아하는데 거기서 더 나아가 새로운 예술 분야를 도전해보고 싶었습니다.</t>
  </si>
  <si>
    <t>최예진</t>
  </si>
  <si>
    <t>22 최예진</t>
  </si>
  <si>
    <t>내가 생각한 아이디어를 자유롭게 표현할 수 있다는 점에서 디자인을 전공하게 되었습니다.</t>
  </si>
  <si>
    <t>박우희</t>
  </si>
  <si>
    <t>22 박우희</t>
  </si>
  <si>
    <t xml:space="preserve">내 머릿속에만 있는 상상을 다른사람에게 보여주고, 현실로 가져올 수 있는 방법이라고 생각해서 시작하게 되었습니다. </t>
  </si>
  <si>
    <t>이혜경</t>
  </si>
  <si>
    <t>22 이혜경</t>
  </si>
  <si>
    <t>좋은 사람들과 깊이 있는 배움이 함께했기에, 제 인생에서 어느 때보다 빛나는 보물 같은 순간으로 남았기 때문입니다.</t>
  </si>
  <si>
    <t>이한나</t>
  </si>
  <si>
    <t>22 이한나</t>
  </si>
  <si>
    <t>머릿속에 맴도는 추상적인 아이디어나 저만의 시각적 취향을 구체적인 작업물로 만들어낼 수 있다는 것에 매력을 느꼈습니다.</t>
  </si>
  <si>
    <t>송민주</t>
  </si>
  <si>
    <t>22 송민주</t>
  </si>
  <si>
    <t>운명</t>
  </si>
  <si>
    <t>destiny</t>
  </si>
  <si>
    <t>30-destiny</t>
  </si>
  <si>
    <t xml:space="preserve">다른 것들을 해보아도 마음이 가는 것은 오직 디자인뿐이었습니다. </t>
  </si>
  <si>
    <t>김나윤</t>
  </si>
  <si>
    <t>22 김나윤</t>
  </si>
  <si>
    <t>사람</t>
  </si>
  <si>
    <t>people</t>
  </si>
  <si>
    <t>24-people</t>
  </si>
  <si>
    <t>결국 사람이 경험하는 마지막 순간에는 디자인이 있는 것 같아 시작하게 되었습니다.</t>
  </si>
  <si>
    <t>백율리</t>
  </si>
  <si>
    <t>22 백율리</t>
  </si>
  <si>
    <t>접점</t>
  </si>
  <si>
    <t>intersection</t>
  </si>
  <si>
    <t>37-intersection</t>
  </si>
  <si>
    <t>서로 다른 예술과 분야가 만나는 접점에서 새로운 가능성을 발견하는 것이 흥미로워 디자인을 시작하게 되었습니다.</t>
  </si>
  <si>
    <t>탁빛나</t>
  </si>
  <si>
    <t>22 탁빛나</t>
  </si>
  <si>
    <t>아주 어릴 때부터 미술 유치원에 다녔었고, 그림 그리는 걸 좋아했습니다. 특별한 계기가 있었다기 보다는, 미슬을 하고 또 그것을 디자인이라는 현실적인 카테고리로 구체화하는게 자명한 일처럼 느껴졌던 것 같습니다.</t>
  </si>
  <si>
    <t>송민서</t>
  </si>
  <si>
    <t>22 송민서</t>
  </si>
  <si>
    <t>머리속에서 가지고 있는 요소들을 가공하고 조립하여 시각적인요소로 표현하는게 디자인이라고 생각하여 고르게 되었습니다.</t>
  </si>
  <si>
    <t>AETHER</t>
  </si>
  <si>
    <t>황어진</t>
  </si>
  <si>
    <t>22 황어진</t>
  </si>
  <si>
    <t>몰입</t>
  </si>
  <si>
    <t>immersion</t>
  </si>
  <si>
    <t>21-immersion</t>
  </si>
  <si>
    <t>가장 시간이 잘 가는 일</t>
  </si>
  <si>
    <t>lit</t>
  </si>
  <si>
    <t>이지수</t>
  </si>
  <si>
    <t>22 이지수</t>
  </si>
  <si>
    <t>일상의 문제를 디자인적 상상력과 즐거움으로 풀어내는 과정이 매력적으로 다가와 시작하게 되었습니다.</t>
  </si>
  <si>
    <t>oodt</t>
  </si>
  <si>
    <t>김자현</t>
  </si>
  <si>
    <t>22 김자현</t>
  </si>
  <si>
    <t>첫사랑</t>
  </si>
  <si>
    <t>first love</t>
  </si>
  <si>
    <t>39-first-love</t>
  </si>
  <si>
    <t>“16살에 좋아한 상대가 평생에 영향을 미친다.”
첫사랑은 찰나에 머무르지 않고 마음 깊은 곳에 남아 무심결에 영향을 주는 존재가 됩니다.
디자인은 그런 의미에서 또 다른 형태로 다가온 첫사랑입니다.
6살, 시작은 그림이었습니다.
그러나 어느 순간부터 그림을 그리는 게 즐겁지 않았고, 의식적으로 미술에 거리를 두었습니다.
16살, 여러 갈림길을 지나던 중 잊고 있었던 마음을 마주합니다.
그리고 시간이 흘러 좋아하는 것과 잘하는 것의 교차점에서 디자인을 발견하게 됩니다.
늦게 깨달은 만큼 꽤 오래 방황했지만, 후회하면서도 후회하지 않습니다.
그 길을 돌아왔기에 ‘미술’이 아닌 ‘디자인’을 만날 수 있었기 때문입니다.
26살, 디자인과 졸업. 어릴 적 막연했던 꿈이 어느새 제 눈 앞에 있습니다.
6살에 시작된 마음은 16살에 디자인으로 제자리를 찾아 10년 뒤에는 마침내 디자이너로 첫 단추를 끼웁니다. 첫사랑이 이후의 사랑을 알아보게 하듯, 어린 시절의 마음은 제가 진정으로 무엇을 좋아하는지 일러주었습니다. 디자인은 오래 전부터 마음 속에서 그려온 모습이자, 지금의 저를 마주하게 한 첫사랑입니다.</t>
  </si>
  <si>
    <t>고희원</t>
  </si>
  <si>
    <t>22 고희원</t>
  </si>
  <si>
    <t>반항</t>
  </si>
  <si>
    <t>rebellion</t>
  </si>
  <si>
    <t>42-rebellion</t>
  </si>
  <si>
    <t>고등학교때 수능 공부가 너무 하기싫어서 예체능쪽으로 가고싶은 생각을 갖고있었는데 같이 다니는 친구가 디자인 한다고 하길래 나도 해볼까? 해서 학원 다니다가 그림그리는게 적성에 맞는거같아 시작하게 되었습니다</t>
  </si>
  <si>
    <t>동첸유</t>
  </si>
  <si>
    <t>22 동첸유</t>
  </si>
  <si>
    <t>상상하는 것을 좋아하고, 머릿속의 생각을 눈에 보이는 형태로 표현하는 과정이 재미있어서 디자인을 시작하게 되었습니다.</t>
  </si>
  <si>
    <t>MOODIT</t>
  </si>
  <si>
    <t>망원인 연구소</t>
  </si>
  <si>
    <t>공유첸</t>
  </si>
  <si>
    <t>22 공유첸</t>
  </si>
  <si>
    <t>제 생각과 꿈을 시각적으로 표현하는 것에 관심이 많아서 디자인을 시작하게 되었습니다.</t>
  </si>
  <si>
    <t>이수민</t>
  </si>
  <si>
    <t>23 이수민</t>
  </si>
  <si>
    <t>확장</t>
  </si>
  <si>
    <t>expansion</t>
  </si>
  <si>
    <t>41-expansion</t>
  </si>
  <si>
    <t>그림 그리는 걸 좋아했지만 진로를 고민하면서 디자인으로 관심을 넓히게 됨</t>
  </si>
  <si>
    <t>ORVIX</t>
  </si>
  <si>
    <t>극락왕생 보험사</t>
  </si>
  <si>
    <t>김미리</t>
  </si>
  <si>
    <t>23 김미리</t>
  </si>
  <si>
    <t>사람이 어떤 디자인을 보고 ‘예쁘다’고 느끼는 데에는 일정한 공식이 있지 않을까 하는 호기심에서 디자인에 관심을 가지기 시작했습니다.</t>
  </si>
  <si>
    <t>이윤호</t>
  </si>
  <si>
    <t>23 이윤호</t>
  </si>
  <si>
    <t>내가 상상하는 새로운 답을 세상에 꺼내놓고 싶었던 순수한 열정이 곧 디자인을 시작하게 되었습니다.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</si>
</sst>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vertical="bottom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0" xfId="0" applyAlignment="1" applyFill="1" applyFont="1">
      <alignment readingOrder="0" vertical="bottom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ill="1" applyFont="1">
      <alignment vertical="bottom"/>
    </xf>
    <xf quotePrefix="1" borderId="0" fillId="0" fontId="1" numFmtId="0" xfId="0" applyAlignment="1" applyFont="1">
      <alignment readingOrder="0" shrinkToFit="0" vertical="center" wrapText="0"/>
    </xf>
    <xf borderId="0" fillId="5" fontId="2" numFmtId="0" xfId="0" applyAlignment="1" applyFill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65" displayName="Form_Responses" name="Form_Responses" id="1">
  <tableColumns count="14">
    <tableColumn name="학번 이름" id="1"/>
    <tableColumn name="name" id="2"/>
    <tableColumn name="display_name" id="3"/>
    <tableColumn name="course" id="4"/>
    <tableColumn name="major" id="5"/>
    <tableColumn name="word_ko" id="6"/>
    <tableColumn name="word_en" id="7"/>
    <tableColumn name="asset_id" id="8"/>
    <tableColumn name="reason" id="9"/>
    <tableColumn name="작성한 답변이 졸업전시 인터랙션 및 관련 전시 콘텐츠에 활용되는 것에 동의하시나요?" id="10"/>
    <tableColumn name="note" id="11"/>
    <tableColumn name="work_1" id="12"/>
    <tableColumn name="work_2" id="13"/>
    <tableColumn name="work_explanation" id="14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3.38"/>
    <col customWidth="1" min="3" max="4" width="25.38"/>
    <col customWidth="1" min="5" max="5" width="21.88"/>
    <col customWidth="1" min="6" max="6" width="22.63"/>
    <col customWidth="1" min="7" max="9" width="37.63"/>
    <col customWidth="1" min="10" max="10" width="35.5"/>
    <col customWidth="1" min="11" max="11" width="18.88"/>
    <col customWidth="1" min="12" max="12" width="11.88"/>
    <col customWidth="1" min="13" max="13" width="26.0"/>
    <col customWidth="1" min="14" max="14" width="16.38"/>
    <col customWidth="1" min="15" max="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4" t="s">
        <v>15</v>
      </c>
    </row>
    <row r="2" ht="22.5" customHeight="1">
      <c r="A2" s="5">
        <v>1.8011916E7</v>
      </c>
      <c r="B2" s="5" t="s">
        <v>16</v>
      </c>
      <c r="C2" s="5" t="s">
        <v>17</v>
      </c>
      <c r="D2" s="5" t="s">
        <v>18</v>
      </c>
      <c r="E2" s="5" t="str">
        <f>IFERROR(__xludf.DUMMYFUNCTION("IFS(REGEXMATCH(D2, ""제품|운송""), ""industrial design"", REGEXMATCH(D2, ""디지털|아이덴티티""), ""visual design"", TRUE, """")"),"visual design")</f>
        <v>visual design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6"/>
      <c r="L2" s="6" t="s">
        <v>24</v>
      </c>
      <c r="M2" s="6"/>
      <c r="N2" s="7" t="s">
        <v>25</v>
      </c>
      <c r="O2" s="8" t="s">
        <v>14</v>
      </c>
      <c r="P2" s="8" t="s">
        <v>26</v>
      </c>
    </row>
    <row r="3" ht="22.5" customHeight="1">
      <c r="A3" s="9">
        <v>1.9011879E7</v>
      </c>
      <c r="B3" s="9" t="s">
        <v>27</v>
      </c>
      <c r="C3" s="9" t="s">
        <v>28</v>
      </c>
      <c r="D3" s="9" t="s">
        <v>29</v>
      </c>
      <c r="E3" s="9" t="str">
        <f>IFERROR(__xludf.DUMMYFUNCTION("IFS(REGEXMATCH(D3, ""제품|운송""), ""industrial design"", REGEXMATCH(D3, ""디지털|아이덴티티""), ""visual design"", TRUE, """")"),"visual design")</f>
        <v>visual design</v>
      </c>
      <c r="F3" s="9" t="s">
        <v>30</v>
      </c>
      <c r="G3" s="9" t="s">
        <v>31</v>
      </c>
      <c r="H3" s="9" t="s">
        <v>32</v>
      </c>
      <c r="I3" s="9" t="s">
        <v>33</v>
      </c>
      <c r="J3" s="9" t="s">
        <v>23</v>
      </c>
      <c r="K3" s="10"/>
      <c r="L3" s="9" t="s">
        <v>34</v>
      </c>
      <c r="M3" s="9" t="s">
        <v>35</v>
      </c>
      <c r="N3" s="11" t="s">
        <v>25</v>
      </c>
      <c r="O3" s="12"/>
      <c r="P3" s="12"/>
    </row>
    <row r="4" ht="22.5" customHeight="1">
      <c r="A4" s="9">
        <v>2.001197E7</v>
      </c>
      <c r="B4" s="9" t="s">
        <v>36</v>
      </c>
      <c r="C4" s="9" t="s">
        <v>37</v>
      </c>
      <c r="D4" s="9" t="s">
        <v>38</v>
      </c>
      <c r="E4" s="9" t="str">
        <f>IFERROR(__xludf.DUMMYFUNCTION("IFS(REGEXMATCH(D4, ""제품|운송""), ""industrial design"", REGEXMATCH(D4, ""디지털|아이덴티티""), ""visual design"", TRUE, """")"),"industrial design")</f>
        <v>industrial design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23</v>
      </c>
      <c r="K4" s="10"/>
      <c r="L4" s="9" t="s">
        <v>43</v>
      </c>
      <c r="M4" s="9" t="s">
        <v>44</v>
      </c>
      <c r="N4" s="11" t="s">
        <v>25</v>
      </c>
      <c r="O4" s="12"/>
      <c r="P4" s="12"/>
    </row>
    <row r="5" ht="22.5" customHeight="1">
      <c r="A5" s="9">
        <v>2.0011975E7</v>
      </c>
      <c r="B5" s="9" t="s">
        <v>45</v>
      </c>
      <c r="C5" s="9" t="s">
        <v>46</v>
      </c>
      <c r="D5" s="9" t="s">
        <v>38</v>
      </c>
      <c r="E5" s="9" t="str">
        <f>IFERROR(__xludf.DUMMYFUNCTION("IFS(REGEXMATCH(D5, ""제품|운송""), ""industrial design"", REGEXMATCH(D5, ""디지털|아이덴티티""), ""visual design"", TRUE, """")"),"industrial design")</f>
        <v>industrial design</v>
      </c>
      <c r="F5" s="9" t="s">
        <v>47</v>
      </c>
      <c r="G5" s="9" t="s">
        <v>48</v>
      </c>
      <c r="H5" s="9" t="s">
        <v>49</v>
      </c>
      <c r="I5" s="9" t="s">
        <v>50</v>
      </c>
      <c r="J5" s="9" t="s">
        <v>23</v>
      </c>
      <c r="K5" s="10"/>
      <c r="L5" s="9" t="s">
        <v>51</v>
      </c>
      <c r="M5" s="9" t="s">
        <v>52</v>
      </c>
      <c r="N5" s="11" t="s">
        <v>25</v>
      </c>
      <c r="O5" s="13"/>
      <c r="P5" s="8" t="s">
        <v>26</v>
      </c>
    </row>
    <row r="6" ht="22.5" customHeight="1">
      <c r="A6" s="9">
        <v>2.0011976E7</v>
      </c>
      <c r="B6" s="9" t="s">
        <v>53</v>
      </c>
      <c r="C6" s="9" t="s">
        <v>54</v>
      </c>
      <c r="D6" s="9" t="s">
        <v>38</v>
      </c>
      <c r="E6" s="9" t="str">
        <f>IFERROR(__xludf.DUMMYFUNCTION("IFS(REGEXMATCH(D6, ""제품|운송""), ""industrial design"", REGEXMATCH(D6, ""디지털|아이덴티티""), ""visual design"", TRUE, """")"),"industrial design")</f>
        <v>industrial design</v>
      </c>
      <c r="F6" s="9" t="s">
        <v>55</v>
      </c>
      <c r="G6" s="9" t="s">
        <v>56</v>
      </c>
      <c r="H6" s="9" t="s">
        <v>57</v>
      </c>
      <c r="I6" s="9" t="s">
        <v>58</v>
      </c>
      <c r="J6" s="9" t="s">
        <v>23</v>
      </c>
      <c r="K6" s="10"/>
      <c r="L6" s="9" t="s">
        <v>59</v>
      </c>
      <c r="M6" s="9" t="s">
        <v>60</v>
      </c>
      <c r="N6" s="11" t="s">
        <v>25</v>
      </c>
      <c r="O6" s="14" t="s">
        <v>61</v>
      </c>
      <c r="P6" s="15"/>
    </row>
    <row r="7" ht="22.5" customHeight="1">
      <c r="A7" s="9">
        <v>2.0011982E7</v>
      </c>
      <c r="B7" s="9" t="s">
        <v>62</v>
      </c>
      <c r="C7" s="9" t="s">
        <v>63</v>
      </c>
      <c r="D7" s="9" t="s">
        <v>38</v>
      </c>
      <c r="E7" s="9" t="str">
        <f>IFERROR(__xludf.DUMMYFUNCTION("IFS(REGEXMATCH(D7, ""제품|운송""), ""industrial design"", REGEXMATCH(D7, ""디지털|아이덴티티""), ""visual design"", TRUE, """")"),"industrial design")</f>
        <v>industrial design</v>
      </c>
      <c r="F7" s="9" t="s">
        <v>64</v>
      </c>
      <c r="G7" s="9" t="s">
        <v>65</v>
      </c>
      <c r="H7" s="9" t="s">
        <v>66</v>
      </c>
      <c r="I7" s="9" t="s">
        <v>67</v>
      </c>
      <c r="J7" s="9" t="s">
        <v>23</v>
      </c>
      <c r="K7" s="10"/>
      <c r="L7" s="9" t="s">
        <v>68</v>
      </c>
      <c r="M7" s="9" t="s">
        <v>60</v>
      </c>
      <c r="N7" s="11" t="s">
        <v>25</v>
      </c>
      <c r="O7" s="15" t="s">
        <v>69</v>
      </c>
      <c r="P7" s="15"/>
    </row>
    <row r="8" ht="22.5" customHeight="1">
      <c r="A8" s="9">
        <v>2.0011987E7</v>
      </c>
      <c r="B8" s="9" t="s">
        <v>70</v>
      </c>
      <c r="C8" s="9" t="s">
        <v>71</v>
      </c>
      <c r="D8" s="9" t="s">
        <v>38</v>
      </c>
      <c r="E8" s="9" t="str">
        <f>IFERROR(__xludf.DUMMYFUNCTION("IFS(REGEXMATCH(D8, ""제품|운송""), ""industrial design"", REGEXMATCH(D8, ""디지털|아이덴티티""), ""visual design"", TRUE, """")"),"industrial design")</f>
        <v>industrial design</v>
      </c>
      <c r="F8" s="9" t="s">
        <v>72</v>
      </c>
      <c r="G8" s="9" t="s">
        <v>73</v>
      </c>
      <c r="H8" s="9" t="s">
        <v>74</v>
      </c>
      <c r="I8" s="9" t="s">
        <v>75</v>
      </c>
      <c r="J8" s="9" t="s">
        <v>23</v>
      </c>
      <c r="K8" s="10"/>
      <c r="L8" s="9" t="s">
        <v>76</v>
      </c>
      <c r="M8" s="9" t="s">
        <v>44</v>
      </c>
      <c r="N8" s="11" t="s">
        <v>25</v>
      </c>
      <c r="O8" s="15"/>
      <c r="P8" s="15"/>
    </row>
    <row r="9" ht="22.5" customHeight="1">
      <c r="A9" s="7">
        <v>2.0011991E7</v>
      </c>
      <c r="B9" s="7" t="s">
        <v>77</v>
      </c>
      <c r="C9" s="7" t="s">
        <v>78</v>
      </c>
      <c r="D9" s="7" t="s">
        <v>38</v>
      </c>
      <c r="E9" s="7" t="str">
        <f>IFERROR(__xludf.DUMMYFUNCTION("IFS(REGEXMATCH(D9, ""제품|운송""), ""industrial design"", REGEXMATCH(D9, ""디지털|아이덴티티""), ""visual design"", TRUE, """")"),"industrial design")</f>
        <v>industrial design</v>
      </c>
      <c r="F9" s="7" t="s">
        <v>79</v>
      </c>
      <c r="G9" s="7" t="s">
        <v>80</v>
      </c>
      <c r="H9" s="7" t="s">
        <v>81</v>
      </c>
      <c r="I9" s="7" t="s">
        <v>82</v>
      </c>
      <c r="J9" s="7" t="s">
        <v>23</v>
      </c>
      <c r="L9" s="7" t="s">
        <v>59</v>
      </c>
      <c r="M9" s="7" t="s">
        <v>83</v>
      </c>
      <c r="N9" s="11" t="s">
        <v>25</v>
      </c>
      <c r="O9" s="15"/>
      <c r="P9" s="15"/>
    </row>
    <row r="10" ht="22.5" customHeight="1">
      <c r="A10" s="9">
        <v>2.0011993E7</v>
      </c>
      <c r="B10" s="9" t="s">
        <v>84</v>
      </c>
      <c r="C10" s="9" t="s">
        <v>85</v>
      </c>
      <c r="D10" s="9" t="s">
        <v>29</v>
      </c>
      <c r="E10" s="9" t="str">
        <f>IFERROR(__xludf.DUMMYFUNCTION("IFS(REGEXMATCH(D10, ""제품|운송""), ""industrial design"", REGEXMATCH(D10, ""디지털|아이덴티티""), ""visual design"", TRUE, """")"),"visual design")</f>
        <v>visual design</v>
      </c>
      <c r="F10" s="9" t="s">
        <v>86</v>
      </c>
      <c r="G10" s="9" t="s">
        <v>87</v>
      </c>
      <c r="H10" s="9" t="s">
        <v>88</v>
      </c>
      <c r="I10" s="9" t="s">
        <v>89</v>
      </c>
      <c r="J10" s="9" t="s">
        <v>23</v>
      </c>
      <c r="K10" s="10"/>
      <c r="L10" s="9" t="s">
        <v>90</v>
      </c>
      <c r="M10" s="9" t="s">
        <v>91</v>
      </c>
      <c r="N10" s="7" t="s">
        <v>25</v>
      </c>
      <c r="O10" s="12"/>
      <c r="P10" s="12"/>
    </row>
    <row r="11" ht="22.5" customHeight="1">
      <c r="A11" s="9">
        <v>2.0011996E7</v>
      </c>
      <c r="B11" s="9" t="s">
        <v>92</v>
      </c>
      <c r="C11" s="9" t="s">
        <v>93</v>
      </c>
      <c r="D11" s="9" t="s">
        <v>38</v>
      </c>
      <c r="E11" s="9" t="str">
        <f>IFERROR(__xludf.DUMMYFUNCTION("IFS(REGEXMATCH(D11, ""제품|운송""), ""industrial design"", REGEXMATCH(D11, ""디지털|아이덴티티""), ""visual design"", TRUE, """")"),"industrial design")</f>
        <v>industrial design</v>
      </c>
      <c r="F11" s="9" t="s">
        <v>94</v>
      </c>
      <c r="G11" s="9" t="s">
        <v>95</v>
      </c>
      <c r="H11" s="9" t="s">
        <v>96</v>
      </c>
      <c r="I11" s="9" t="s">
        <v>97</v>
      </c>
      <c r="J11" s="9" t="s">
        <v>23</v>
      </c>
      <c r="K11" s="10"/>
      <c r="L11" s="9" t="s">
        <v>51</v>
      </c>
      <c r="M11" s="9" t="s">
        <v>83</v>
      </c>
      <c r="N11" s="7" t="s">
        <v>25</v>
      </c>
      <c r="O11" s="12"/>
      <c r="P11" s="4"/>
    </row>
    <row r="12" ht="22.5" customHeight="1">
      <c r="A12" s="9">
        <v>2.0011998E7</v>
      </c>
      <c r="B12" s="9" t="s">
        <v>98</v>
      </c>
      <c r="C12" s="9" t="s">
        <v>99</v>
      </c>
      <c r="D12" s="9" t="s">
        <v>38</v>
      </c>
      <c r="E12" s="9" t="str">
        <f>IFERROR(__xludf.DUMMYFUNCTION("IFS(REGEXMATCH(D12, ""제품|운송""), ""industrial design"", REGEXMATCH(D12, ""디지털|아이덴티티""), ""visual design"", TRUE, """")"),"industrial design")</f>
        <v>industrial design</v>
      </c>
      <c r="F12" s="9" t="s">
        <v>47</v>
      </c>
      <c r="G12" s="9" t="s">
        <v>48</v>
      </c>
      <c r="H12" s="9" t="s">
        <v>49</v>
      </c>
      <c r="I12" s="9" t="s">
        <v>100</v>
      </c>
      <c r="J12" s="9" t="s">
        <v>23</v>
      </c>
      <c r="K12" s="10"/>
      <c r="L12" s="9" t="s">
        <v>101</v>
      </c>
      <c r="M12" s="9" t="s">
        <v>102</v>
      </c>
      <c r="N12" s="7" t="s">
        <v>25</v>
      </c>
      <c r="O12" s="12"/>
      <c r="P12" s="12"/>
    </row>
    <row r="13" ht="22.5" customHeight="1">
      <c r="A13" s="9">
        <v>2.0012001E7</v>
      </c>
      <c r="B13" s="9" t="s">
        <v>103</v>
      </c>
      <c r="C13" s="9" t="s">
        <v>104</v>
      </c>
      <c r="D13" s="9" t="s">
        <v>29</v>
      </c>
      <c r="E13" s="9" t="str">
        <f>IFERROR(__xludf.DUMMYFUNCTION("IFS(REGEXMATCH(D13, ""제품|운송""), ""industrial design"", REGEXMATCH(D13, ""디지털|아이덴티티""), ""visual design"", TRUE, """")"),"visual design")</f>
        <v>visual design</v>
      </c>
      <c r="F13" s="9" t="s">
        <v>105</v>
      </c>
      <c r="G13" s="9" t="s">
        <v>106</v>
      </c>
      <c r="H13" s="9" t="s">
        <v>107</v>
      </c>
      <c r="I13" s="9" t="s">
        <v>108</v>
      </c>
      <c r="J13" s="9" t="s">
        <v>23</v>
      </c>
      <c r="K13" s="10"/>
      <c r="L13" s="9" t="s">
        <v>109</v>
      </c>
      <c r="M13" s="9" t="s">
        <v>110</v>
      </c>
      <c r="N13" s="7" t="s">
        <v>25</v>
      </c>
      <c r="O13" s="12"/>
      <c r="P13" s="12"/>
    </row>
    <row r="14" ht="22.5" customHeight="1">
      <c r="A14" s="9">
        <v>2.0012004E7</v>
      </c>
      <c r="B14" s="9" t="s">
        <v>111</v>
      </c>
      <c r="C14" s="9" t="s">
        <v>112</v>
      </c>
      <c r="D14" s="9" t="s">
        <v>29</v>
      </c>
      <c r="E14" s="9" t="str">
        <f>IFERROR(__xludf.DUMMYFUNCTION("IFS(REGEXMATCH(D14, ""제품|운송""), ""industrial design"", REGEXMATCH(D14, ""디지털|아이덴티티""), ""visual design"", TRUE, """")"),"visual design")</f>
        <v>visual design</v>
      </c>
      <c r="F14" s="9" t="s">
        <v>113</v>
      </c>
      <c r="G14" s="9" t="s">
        <v>114</v>
      </c>
      <c r="H14" s="9" t="s">
        <v>115</v>
      </c>
      <c r="I14" s="9" t="s">
        <v>116</v>
      </c>
      <c r="J14" s="9" t="s">
        <v>23</v>
      </c>
      <c r="K14" s="10"/>
      <c r="L14" s="9" t="s">
        <v>117</v>
      </c>
      <c r="M14" s="9" t="s">
        <v>118</v>
      </c>
      <c r="N14" s="7" t="s">
        <v>25</v>
      </c>
      <c r="O14" s="12"/>
      <c r="P14" s="12"/>
    </row>
    <row r="15" ht="22.5" customHeight="1">
      <c r="A15" s="7">
        <v>2.0012009E7</v>
      </c>
      <c r="B15" s="7" t="s">
        <v>119</v>
      </c>
      <c r="C15" s="7" t="s">
        <v>120</v>
      </c>
      <c r="D15" s="7" t="s">
        <v>29</v>
      </c>
      <c r="E15" s="7" t="str">
        <f>IFERROR(__xludf.DUMMYFUNCTION("IFS(REGEXMATCH(D15, ""제품|운송""), ""industrial design"", REGEXMATCH(D15, ""디지털|아이덴티티""), ""visual design"", TRUE, """")"),"visual design")</f>
        <v>visual design</v>
      </c>
      <c r="F15" s="7" t="s">
        <v>121</v>
      </c>
      <c r="G15" s="7" t="s">
        <v>122</v>
      </c>
      <c r="H15" s="7" t="s">
        <v>123</v>
      </c>
      <c r="I15" s="7" t="s">
        <v>124</v>
      </c>
      <c r="J15" s="7" t="s">
        <v>23</v>
      </c>
      <c r="L15" s="7" t="s">
        <v>90</v>
      </c>
      <c r="M15" s="7" t="s">
        <v>125</v>
      </c>
      <c r="N15" s="7" t="s">
        <v>25</v>
      </c>
      <c r="O15" s="12"/>
      <c r="P15" s="12"/>
    </row>
    <row r="16" ht="22.5" customHeight="1">
      <c r="A16" s="9">
        <v>2.1012057E7</v>
      </c>
      <c r="B16" s="9" t="s">
        <v>126</v>
      </c>
      <c r="C16" s="9" t="s">
        <v>127</v>
      </c>
      <c r="D16" s="9" t="s">
        <v>38</v>
      </c>
      <c r="E16" s="9" t="str">
        <f>IFERROR(__xludf.DUMMYFUNCTION("IFS(REGEXMATCH(D16, ""제품|운송""), ""industrial design"", REGEXMATCH(D16, ""디지털|아이덴티티""), ""visual design"", TRUE, """")"),"industrial design")</f>
        <v>industrial design</v>
      </c>
      <c r="F16" s="9" t="s">
        <v>128</v>
      </c>
      <c r="G16" s="9" t="s">
        <v>129</v>
      </c>
      <c r="H16" s="9" t="s">
        <v>130</v>
      </c>
      <c r="I16" s="9" t="s">
        <v>131</v>
      </c>
      <c r="J16" s="9" t="s">
        <v>23</v>
      </c>
      <c r="K16" s="10"/>
      <c r="L16" s="9" t="s">
        <v>132</v>
      </c>
      <c r="M16" s="9" t="s">
        <v>133</v>
      </c>
      <c r="N16" s="7" t="s">
        <v>25</v>
      </c>
      <c r="O16" s="12"/>
      <c r="P16" s="12"/>
    </row>
    <row r="17" ht="22.5" customHeight="1">
      <c r="A17" s="9">
        <v>2.1012068E7</v>
      </c>
      <c r="B17" s="9" t="s">
        <v>134</v>
      </c>
      <c r="C17" s="9" t="s">
        <v>135</v>
      </c>
      <c r="D17" s="9" t="s">
        <v>29</v>
      </c>
      <c r="E17" s="9" t="str">
        <f>IFERROR(__xludf.DUMMYFUNCTION("IFS(REGEXMATCH(D17, ""제품|운송""), ""industrial design"", REGEXMATCH(D17, ""디지털|아이덴티티""), ""visual design"", TRUE, """")"),"visual design")</f>
        <v>visual design</v>
      </c>
      <c r="F17" s="9" t="s">
        <v>136</v>
      </c>
      <c r="G17" s="9" t="s">
        <v>137</v>
      </c>
      <c r="H17" s="9" t="s">
        <v>138</v>
      </c>
      <c r="I17" s="9" t="s">
        <v>139</v>
      </c>
      <c r="J17" s="9" t="s">
        <v>23</v>
      </c>
      <c r="K17" s="10"/>
      <c r="L17" s="9" t="s">
        <v>140</v>
      </c>
      <c r="M17" s="9" t="s">
        <v>141</v>
      </c>
      <c r="N17" s="7" t="s">
        <v>25</v>
      </c>
      <c r="O17" s="12"/>
      <c r="P17" s="12"/>
    </row>
    <row r="18" ht="22.5" customHeight="1">
      <c r="A18" s="9">
        <v>2.1012073E7</v>
      </c>
      <c r="B18" s="9" t="s">
        <v>142</v>
      </c>
      <c r="C18" s="9" t="s">
        <v>143</v>
      </c>
      <c r="D18" s="9" t="s">
        <v>38</v>
      </c>
      <c r="E18" s="9" t="str">
        <f>IFERROR(__xludf.DUMMYFUNCTION("IFS(REGEXMATCH(D18, ""제품|운송""), ""industrial design"", REGEXMATCH(D18, ""디지털|아이덴티티""), ""visual design"", TRUE, """")"),"industrial design")</f>
        <v>industrial design</v>
      </c>
      <c r="F18" s="9" t="s">
        <v>144</v>
      </c>
      <c r="G18" s="9" t="s">
        <v>145</v>
      </c>
      <c r="H18" s="9" t="s">
        <v>146</v>
      </c>
      <c r="I18" s="9" t="s">
        <v>147</v>
      </c>
      <c r="J18" s="9" t="s">
        <v>23</v>
      </c>
      <c r="K18" s="10"/>
      <c r="L18" s="9" t="s">
        <v>148</v>
      </c>
      <c r="M18" s="9" t="s">
        <v>52</v>
      </c>
      <c r="N18" s="7" t="s">
        <v>25</v>
      </c>
      <c r="O18" s="12"/>
      <c r="P18" s="12"/>
    </row>
    <row r="19" ht="22.5" customHeight="1">
      <c r="A19" s="9">
        <v>2.1012079E7</v>
      </c>
      <c r="B19" s="9" t="s">
        <v>149</v>
      </c>
      <c r="C19" s="9" t="s">
        <v>150</v>
      </c>
      <c r="D19" s="9" t="s">
        <v>38</v>
      </c>
      <c r="E19" s="9" t="str">
        <f>IFERROR(__xludf.DUMMYFUNCTION("IFS(REGEXMATCH(D19, ""제품|운송""), ""industrial design"", REGEXMATCH(D19, ""디지털|아이덴티티""), ""visual design"", TRUE, """")"),"industrial design")</f>
        <v>industrial design</v>
      </c>
      <c r="F19" s="9" t="s">
        <v>151</v>
      </c>
      <c r="G19" s="9" t="s">
        <v>152</v>
      </c>
      <c r="H19" s="9" t="s">
        <v>153</v>
      </c>
      <c r="I19" s="9" t="s">
        <v>154</v>
      </c>
      <c r="J19" s="9" t="s">
        <v>23</v>
      </c>
      <c r="K19" s="10"/>
      <c r="L19" s="9" t="s">
        <v>155</v>
      </c>
      <c r="M19" s="9" t="s">
        <v>156</v>
      </c>
      <c r="N19" s="7" t="s">
        <v>25</v>
      </c>
      <c r="O19" s="12"/>
      <c r="P19" s="12"/>
    </row>
    <row r="20" ht="22.5" customHeight="1">
      <c r="A20" s="9">
        <v>2.1012081E7</v>
      </c>
      <c r="B20" s="9" t="s">
        <v>157</v>
      </c>
      <c r="C20" s="9" t="s">
        <v>158</v>
      </c>
      <c r="D20" s="9" t="s">
        <v>38</v>
      </c>
      <c r="E20" s="9" t="str">
        <f>IFERROR(__xludf.DUMMYFUNCTION("IFS(REGEXMATCH(D20, ""제품|운송""), ""industrial design"", REGEXMATCH(D20, ""디지털|아이덴티티""), ""visual design"", TRUE, """")"),"industrial design")</f>
        <v>industrial design</v>
      </c>
      <c r="F20" s="9" t="s">
        <v>159</v>
      </c>
      <c r="G20" s="9" t="s">
        <v>160</v>
      </c>
      <c r="H20" s="9" t="s">
        <v>161</v>
      </c>
      <c r="I20" s="9" t="s">
        <v>162</v>
      </c>
      <c r="J20" s="9" t="s">
        <v>23</v>
      </c>
      <c r="K20" s="10"/>
      <c r="L20" s="9" t="s">
        <v>155</v>
      </c>
      <c r="M20" s="9" t="s">
        <v>133</v>
      </c>
      <c r="N20" s="7" t="s">
        <v>25</v>
      </c>
      <c r="O20" s="12"/>
      <c r="P20" s="12"/>
    </row>
    <row r="21" ht="22.5" customHeight="1">
      <c r="A21" s="9">
        <v>2.1012082E7</v>
      </c>
      <c r="B21" s="9" t="s">
        <v>163</v>
      </c>
      <c r="C21" s="9" t="s">
        <v>164</v>
      </c>
      <c r="D21" s="9" t="s">
        <v>29</v>
      </c>
      <c r="E21" s="9" t="str">
        <f>IFERROR(__xludf.DUMMYFUNCTION("IFS(REGEXMATCH(D21, ""제품|운송""), ""industrial design"", REGEXMATCH(D21, ""디지털|아이덴티티""), ""visual design"", TRUE, """")"),"visual design")</f>
        <v>visual design</v>
      </c>
      <c r="F21" s="9" t="s">
        <v>165</v>
      </c>
      <c r="G21" s="9" t="s">
        <v>166</v>
      </c>
      <c r="H21" s="9" t="s">
        <v>167</v>
      </c>
      <c r="I21" s="9" t="s">
        <v>168</v>
      </c>
      <c r="J21" s="9" t="s">
        <v>23</v>
      </c>
      <c r="K21" s="10"/>
      <c r="L21" s="9" t="s">
        <v>169</v>
      </c>
      <c r="M21" s="9" t="s">
        <v>170</v>
      </c>
      <c r="N21" s="7" t="s">
        <v>25</v>
      </c>
      <c r="O21" s="12"/>
      <c r="P21" s="12"/>
    </row>
    <row r="22" ht="22.5" customHeight="1">
      <c r="A22" s="9">
        <v>2.1012083E7</v>
      </c>
      <c r="B22" s="9" t="s">
        <v>171</v>
      </c>
      <c r="C22" s="9" t="s">
        <v>172</v>
      </c>
      <c r="D22" s="9" t="s">
        <v>38</v>
      </c>
      <c r="E22" s="9" t="str">
        <f>IFERROR(__xludf.DUMMYFUNCTION("IFS(REGEXMATCH(D22, ""제품|운송""), ""industrial design"", REGEXMATCH(D22, ""디지털|아이덴티티""), ""visual design"", TRUE, """")"),"industrial design")</f>
        <v>industrial design</v>
      </c>
      <c r="F22" s="9" t="s">
        <v>173</v>
      </c>
      <c r="G22" s="9" t="s">
        <v>174</v>
      </c>
      <c r="H22" s="9" t="s">
        <v>175</v>
      </c>
      <c r="I22" s="16" t="s">
        <v>176</v>
      </c>
      <c r="J22" s="9" t="s">
        <v>23</v>
      </c>
      <c r="K22" s="10"/>
      <c r="L22" s="9" t="s">
        <v>177</v>
      </c>
      <c r="M22" s="9" t="s">
        <v>178</v>
      </c>
      <c r="N22" s="7" t="s">
        <v>25</v>
      </c>
      <c r="O22" s="12"/>
      <c r="P22" s="12"/>
    </row>
    <row r="23" ht="22.5" customHeight="1">
      <c r="A23" s="7">
        <v>2.1012084E7</v>
      </c>
      <c r="B23" s="7" t="s">
        <v>179</v>
      </c>
      <c r="C23" s="7" t="s">
        <v>180</v>
      </c>
      <c r="D23" s="7" t="s">
        <v>29</v>
      </c>
      <c r="E23" s="7" t="str">
        <f>IFERROR(__xludf.DUMMYFUNCTION("IFS(REGEXMATCH(D23, ""제품|운송""), ""industrial design"", REGEXMATCH(D23, ""디지털|아이덴티티""), ""visual design"", TRUE, """")"),"visual design")</f>
        <v>visual design</v>
      </c>
      <c r="F23" s="7" t="s">
        <v>128</v>
      </c>
      <c r="G23" s="7" t="s">
        <v>129</v>
      </c>
      <c r="H23" s="7" t="s">
        <v>130</v>
      </c>
      <c r="I23" s="7" t="s">
        <v>181</v>
      </c>
      <c r="J23" s="7" t="s">
        <v>23</v>
      </c>
      <c r="K23" s="10"/>
      <c r="L23" s="9" t="s">
        <v>182</v>
      </c>
      <c r="M23" s="9" t="s">
        <v>141</v>
      </c>
      <c r="N23" s="7" t="s">
        <v>25</v>
      </c>
      <c r="O23" s="12"/>
      <c r="P23" s="12"/>
    </row>
    <row r="24" ht="22.5" customHeight="1">
      <c r="A24" s="9">
        <v>2.1012085E7</v>
      </c>
      <c r="B24" s="9" t="s">
        <v>183</v>
      </c>
      <c r="C24" s="9" t="s">
        <v>184</v>
      </c>
      <c r="D24" s="9" t="s">
        <v>29</v>
      </c>
      <c r="E24" s="9" t="str">
        <f>IFERROR(__xludf.DUMMYFUNCTION("IFS(REGEXMATCH(D24, ""제품|운송""), ""industrial design"", REGEXMATCH(D24, ""디지털|아이덴티티""), ""visual design"", TRUE, """")"),"visual design")</f>
        <v>visual design</v>
      </c>
      <c r="F24" s="9" t="s">
        <v>185</v>
      </c>
      <c r="G24" s="9" t="s">
        <v>186</v>
      </c>
      <c r="H24" s="9" t="s">
        <v>187</v>
      </c>
      <c r="I24" s="9" t="s">
        <v>188</v>
      </c>
      <c r="J24" s="9" t="s">
        <v>23</v>
      </c>
      <c r="K24" s="10"/>
      <c r="L24" s="9" t="s">
        <v>169</v>
      </c>
      <c r="M24" s="9" t="s">
        <v>170</v>
      </c>
      <c r="N24" s="7" t="s">
        <v>25</v>
      </c>
      <c r="O24" s="12"/>
      <c r="P24" s="12"/>
    </row>
    <row r="25" ht="22.5" customHeight="1">
      <c r="A25" s="9">
        <v>2.1012089E7</v>
      </c>
      <c r="B25" s="9" t="s">
        <v>189</v>
      </c>
      <c r="C25" s="9" t="s">
        <v>190</v>
      </c>
      <c r="D25" s="9" t="s">
        <v>38</v>
      </c>
      <c r="E25" s="9" t="str">
        <f>IFERROR(__xludf.DUMMYFUNCTION("IFS(REGEXMATCH(D25, ""제품|운송""), ""industrial design"", REGEXMATCH(D25, ""디지털|아이덴티티""), ""visual design"", TRUE, """")"),"industrial design")</f>
        <v>industrial design</v>
      </c>
      <c r="F25" s="9" t="s">
        <v>191</v>
      </c>
      <c r="G25" s="9" t="s">
        <v>192</v>
      </c>
      <c r="H25" s="9" t="s">
        <v>193</v>
      </c>
      <c r="I25" s="9" t="s">
        <v>194</v>
      </c>
      <c r="J25" s="9" t="s">
        <v>23</v>
      </c>
      <c r="K25" s="10"/>
      <c r="L25" s="9" t="s">
        <v>68</v>
      </c>
      <c r="M25" s="9" t="s">
        <v>195</v>
      </c>
      <c r="N25" s="7" t="s">
        <v>25</v>
      </c>
      <c r="O25" s="12"/>
      <c r="P25" s="12"/>
    </row>
    <row r="26" ht="22.5" customHeight="1">
      <c r="A26" s="9">
        <v>2.1012092E7</v>
      </c>
      <c r="B26" s="9" t="s">
        <v>196</v>
      </c>
      <c r="C26" s="9" t="s">
        <v>197</v>
      </c>
      <c r="D26" s="9" t="s">
        <v>29</v>
      </c>
      <c r="E26" s="9" t="str">
        <f>IFERROR(__xludf.DUMMYFUNCTION("IFS(REGEXMATCH(D26, ""제품|운송""), ""industrial design"", REGEXMATCH(D26, ""디지털|아이덴티티""), ""visual design"", TRUE, """")"),"visual design")</f>
        <v>visual design</v>
      </c>
      <c r="F26" s="9" t="s">
        <v>198</v>
      </c>
      <c r="G26" s="9" t="s">
        <v>199</v>
      </c>
      <c r="H26" s="9" t="s">
        <v>200</v>
      </c>
      <c r="I26" s="9" t="s">
        <v>201</v>
      </c>
      <c r="J26" s="9" t="s">
        <v>23</v>
      </c>
      <c r="K26" s="10"/>
      <c r="L26" s="9" t="s">
        <v>140</v>
      </c>
      <c r="M26" s="9" t="s">
        <v>202</v>
      </c>
      <c r="N26" s="7" t="s">
        <v>25</v>
      </c>
      <c r="O26" s="12"/>
      <c r="P26" s="12"/>
    </row>
    <row r="27" ht="22.5" customHeight="1">
      <c r="A27" s="7">
        <v>2.1013334E7</v>
      </c>
      <c r="B27" s="7" t="s">
        <v>203</v>
      </c>
      <c r="C27" s="7" t="s">
        <v>204</v>
      </c>
      <c r="D27" s="7" t="s">
        <v>29</v>
      </c>
      <c r="E27" s="7" t="str">
        <f>IFERROR(__xludf.DUMMYFUNCTION("IFS(REGEXMATCH(D27, ""제품|운송""), ""industrial design"", REGEXMATCH(D27, ""디지털|아이덴티티""), ""visual design"", TRUE, """")"),"visual design")</f>
        <v>visual design</v>
      </c>
      <c r="F27" s="7" t="s">
        <v>205</v>
      </c>
      <c r="G27" s="7" t="s">
        <v>206</v>
      </c>
      <c r="H27" s="7" t="s">
        <v>207</v>
      </c>
      <c r="I27" s="7" t="s">
        <v>208</v>
      </c>
      <c r="J27" s="7" t="s">
        <v>23</v>
      </c>
      <c r="L27" s="7" t="s">
        <v>209</v>
      </c>
      <c r="M27" s="7" t="s">
        <v>210</v>
      </c>
      <c r="N27" s="7" t="s">
        <v>25</v>
      </c>
    </row>
    <row r="28" ht="22.5" customHeight="1">
      <c r="A28" s="9">
        <v>2.1013415E7</v>
      </c>
      <c r="B28" s="9" t="s">
        <v>211</v>
      </c>
      <c r="C28" s="9" t="s">
        <v>212</v>
      </c>
      <c r="D28" s="9" t="s">
        <v>29</v>
      </c>
      <c r="E28" s="9" t="str">
        <f>IFERROR(__xludf.DUMMYFUNCTION("IFS(REGEXMATCH(D28, ""제품|운송""), ""industrial design"", REGEXMATCH(D28, ""디지털|아이덴티티""), ""visual design"", TRUE, """")"),"visual design")</f>
        <v>visual design</v>
      </c>
      <c r="F28" s="9" t="s">
        <v>213</v>
      </c>
      <c r="G28" s="9" t="s">
        <v>214</v>
      </c>
      <c r="H28" s="9" t="s">
        <v>215</v>
      </c>
      <c r="I28" s="9" t="s">
        <v>216</v>
      </c>
      <c r="J28" s="9" t="s">
        <v>23</v>
      </c>
      <c r="K28" s="10"/>
      <c r="L28" s="9" t="s">
        <v>217</v>
      </c>
      <c r="M28" s="10"/>
      <c r="N28" s="7" t="s">
        <v>25</v>
      </c>
      <c r="O28" s="17"/>
      <c r="P28" s="17"/>
    </row>
    <row r="29" ht="22.5" customHeight="1">
      <c r="A29" s="7">
        <v>2.2012036E7</v>
      </c>
      <c r="B29" s="7" t="s">
        <v>218</v>
      </c>
      <c r="C29" s="7" t="s">
        <v>219</v>
      </c>
      <c r="D29" s="7" t="s">
        <v>38</v>
      </c>
      <c r="E29" s="7" t="str">
        <f>IFERROR(__xludf.DUMMYFUNCTION("IFS(REGEXMATCH(D29, ""제품|운송""), ""industrial design"", REGEXMATCH(D29, ""디지털|아이덴티티""), ""visual design"", TRUE, """")"),"industrial design")</f>
        <v>industrial design</v>
      </c>
      <c r="F29" s="7" t="s">
        <v>220</v>
      </c>
      <c r="G29" s="7" t="s">
        <v>221</v>
      </c>
      <c r="H29" s="7" t="s">
        <v>222</v>
      </c>
      <c r="I29" s="7" t="s">
        <v>223</v>
      </c>
      <c r="J29" s="7" t="s">
        <v>23</v>
      </c>
      <c r="L29" s="7" t="s">
        <v>224</v>
      </c>
      <c r="M29" s="7" t="s">
        <v>225</v>
      </c>
      <c r="N29" s="7" t="s">
        <v>25</v>
      </c>
      <c r="O29" s="12"/>
      <c r="P29" s="12"/>
    </row>
    <row r="30" ht="22.5" customHeight="1">
      <c r="A30" s="9">
        <v>2.2012038E7</v>
      </c>
      <c r="B30" s="9" t="s">
        <v>226</v>
      </c>
      <c r="C30" s="9" t="s">
        <v>227</v>
      </c>
      <c r="D30" s="9" t="s">
        <v>29</v>
      </c>
      <c r="E30" s="9" t="str">
        <f>IFERROR(__xludf.DUMMYFUNCTION("IFS(REGEXMATCH(D30, ""제품|운송""), ""industrial design"", REGEXMATCH(D30, ""디지털|아이덴티티""), ""visual design"", TRUE, """")"),"visual design")</f>
        <v>visual design</v>
      </c>
      <c r="F30" s="9" t="s">
        <v>79</v>
      </c>
      <c r="G30" s="9" t="s">
        <v>80</v>
      </c>
      <c r="H30" s="9" t="s">
        <v>81</v>
      </c>
      <c r="I30" s="9" t="s">
        <v>228</v>
      </c>
      <c r="J30" s="9" t="s">
        <v>23</v>
      </c>
      <c r="K30" s="10"/>
      <c r="L30" s="9" t="s">
        <v>209</v>
      </c>
      <c r="M30" s="9" t="s">
        <v>210</v>
      </c>
      <c r="N30" s="7" t="s">
        <v>25</v>
      </c>
      <c r="O30" s="12"/>
      <c r="P30" s="12"/>
    </row>
    <row r="31" ht="22.5" customHeight="1">
      <c r="A31" s="9">
        <v>2.201204E7</v>
      </c>
      <c r="B31" s="9" t="s">
        <v>229</v>
      </c>
      <c r="C31" s="9" t="s">
        <v>230</v>
      </c>
      <c r="D31" s="9" t="s">
        <v>38</v>
      </c>
      <c r="E31" s="9" t="str">
        <f>IFERROR(__xludf.DUMMYFUNCTION("IFS(REGEXMATCH(D31, ""제품|운송""), ""industrial design"", REGEXMATCH(D31, ""디지털|아이덴티티""), ""visual design"", TRUE, """")"),"industrial design")</f>
        <v>industrial design</v>
      </c>
      <c r="F31" s="9" t="s">
        <v>231</v>
      </c>
      <c r="G31" s="9" t="s">
        <v>232</v>
      </c>
      <c r="H31" s="9" t="s">
        <v>233</v>
      </c>
      <c r="I31" s="9" t="s">
        <v>234</v>
      </c>
      <c r="J31" s="9" t="s">
        <v>23</v>
      </c>
      <c r="K31" s="10"/>
      <c r="L31" s="9" t="s">
        <v>76</v>
      </c>
      <c r="M31" s="9" t="s">
        <v>156</v>
      </c>
      <c r="N31" s="7" t="s">
        <v>25</v>
      </c>
      <c r="O31" s="17"/>
      <c r="P31" s="17"/>
    </row>
    <row r="32" ht="22.5" customHeight="1">
      <c r="A32" s="7">
        <v>2.2012041E7</v>
      </c>
      <c r="B32" s="7" t="s">
        <v>235</v>
      </c>
      <c r="C32" s="7" t="s">
        <v>236</v>
      </c>
      <c r="D32" s="7" t="s">
        <v>38</v>
      </c>
      <c r="E32" s="7" t="str">
        <f>IFERROR(__xludf.DUMMYFUNCTION("IFS(REGEXMATCH(D32, ""제품|운송""), ""industrial design"", REGEXMATCH(D32, ""디지털|아이덴티티""), ""visual design"", TRUE, """")"),"industrial design")</f>
        <v>industrial design</v>
      </c>
      <c r="F32" s="7" t="s">
        <v>237</v>
      </c>
      <c r="G32" s="7" t="s">
        <v>238</v>
      </c>
      <c r="H32" s="7" t="s">
        <v>239</v>
      </c>
      <c r="I32" s="7" t="s">
        <v>240</v>
      </c>
      <c r="J32" s="7" t="s">
        <v>23</v>
      </c>
      <c r="L32" s="7" t="s">
        <v>224</v>
      </c>
      <c r="M32" s="7" t="s">
        <v>225</v>
      </c>
      <c r="N32" s="7" t="s">
        <v>25</v>
      </c>
      <c r="O32" s="17"/>
      <c r="P32" s="17"/>
    </row>
    <row r="33" ht="22.5" customHeight="1">
      <c r="A33" s="9">
        <v>2.2012042E7</v>
      </c>
      <c r="B33" s="9" t="s">
        <v>241</v>
      </c>
      <c r="C33" s="9" t="s">
        <v>242</v>
      </c>
      <c r="D33" s="9" t="s">
        <v>29</v>
      </c>
      <c r="E33" s="9" t="str">
        <f>IFERROR(__xludf.DUMMYFUNCTION("IFS(REGEXMATCH(D33, ""제품|운송""), ""industrial design"", REGEXMATCH(D33, ""디지털|아이덴티티""), ""visual design"", TRUE, """")"),"visual design")</f>
        <v>visual design</v>
      </c>
      <c r="F33" s="9" t="s">
        <v>205</v>
      </c>
      <c r="G33" s="9" t="s">
        <v>206</v>
      </c>
      <c r="H33" s="9" t="s">
        <v>207</v>
      </c>
      <c r="I33" s="9" t="s">
        <v>243</v>
      </c>
      <c r="J33" s="9" t="s">
        <v>23</v>
      </c>
      <c r="K33" s="10"/>
      <c r="L33" s="9" t="s">
        <v>244</v>
      </c>
      <c r="M33" s="9" t="s">
        <v>118</v>
      </c>
      <c r="N33" s="7" t="s">
        <v>25</v>
      </c>
    </row>
    <row r="34" ht="22.5" customHeight="1">
      <c r="A34" s="9">
        <v>2.2012047E7</v>
      </c>
      <c r="B34" s="9" t="s">
        <v>245</v>
      </c>
      <c r="C34" s="9" t="s">
        <v>246</v>
      </c>
      <c r="D34" s="9" t="s">
        <v>29</v>
      </c>
      <c r="E34" s="9" t="str">
        <f>IFERROR(__xludf.DUMMYFUNCTION("IFS(REGEXMATCH(D34, ""제품|운송""), ""industrial design"", REGEXMATCH(D34, ""디지털|아이덴티티""), ""visual design"", TRUE, """")"),"visual design")</f>
        <v>visual design</v>
      </c>
      <c r="F34" s="9" t="s">
        <v>247</v>
      </c>
      <c r="G34" s="9" t="s">
        <v>248</v>
      </c>
      <c r="H34" s="9" t="s">
        <v>249</v>
      </c>
      <c r="I34" s="9" t="s">
        <v>250</v>
      </c>
      <c r="J34" s="9" t="s">
        <v>23</v>
      </c>
      <c r="K34" s="10"/>
      <c r="L34" s="9" t="s">
        <v>251</v>
      </c>
      <c r="M34" s="9" t="s">
        <v>252</v>
      </c>
      <c r="N34" s="7" t="s">
        <v>25</v>
      </c>
    </row>
    <row r="35" ht="22.5" customHeight="1">
      <c r="A35" s="9">
        <v>2.2012048E7</v>
      </c>
      <c r="B35" s="9" t="s">
        <v>253</v>
      </c>
      <c r="C35" s="9" t="s">
        <v>254</v>
      </c>
      <c r="D35" s="9" t="s">
        <v>29</v>
      </c>
      <c r="E35" s="9" t="str">
        <f>IFERROR(__xludf.DUMMYFUNCTION("IFS(REGEXMATCH(D35, ""제품|운송""), ""industrial design"", REGEXMATCH(D35, ""디지털|아이덴티티""), ""visual design"", TRUE, """")"),"visual design")</f>
        <v>visual design</v>
      </c>
      <c r="F35" s="9" t="s">
        <v>255</v>
      </c>
      <c r="G35" s="9" t="s">
        <v>256</v>
      </c>
      <c r="H35" s="9" t="s">
        <v>257</v>
      </c>
      <c r="I35" s="9" t="s">
        <v>258</v>
      </c>
      <c r="J35" s="9" t="s">
        <v>23</v>
      </c>
      <c r="K35" s="10"/>
      <c r="L35" s="9" t="s">
        <v>259</v>
      </c>
      <c r="M35" s="9" t="s">
        <v>260</v>
      </c>
      <c r="N35" s="7" t="s">
        <v>25</v>
      </c>
    </row>
    <row r="36" ht="22.5" customHeight="1">
      <c r="A36" s="7">
        <v>2.2012052E7</v>
      </c>
      <c r="B36" s="7" t="s">
        <v>261</v>
      </c>
      <c r="C36" s="7" t="s">
        <v>262</v>
      </c>
      <c r="D36" s="7" t="s">
        <v>29</v>
      </c>
      <c r="E36" s="7" t="str">
        <f>IFERROR(__xludf.DUMMYFUNCTION("IFS(REGEXMATCH(D36, ""제품|운송""), ""industrial design"", REGEXMATCH(D36, ""디지털|아이덴티티""), ""visual design"", TRUE, """")"),"visual design")</f>
        <v>visual design</v>
      </c>
      <c r="F36" s="7" t="s">
        <v>144</v>
      </c>
      <c r="G36" s="7" t="s">
        <v>145</v>
      </c>
      <c r="H36" s="7" t="s">
        <v>146</v>
      </c>
      <c r="I36" s="7" t="s">
        <v>263</v>
      </c>
      <c r="J36" s="7" t="s">
        <v>23</v>
      </c>
      <c r="L36" s="7" t="s">
        <v>244</v>
      </c>
      <c r="M36" s="7" t="s">
        <v>264</v>
      </c>
      <c r="N36" s="7" t="s">
        <v>25</v>
      </c>
    </row>
    <row r="37" ht="22.5" customHeight="1">
      <c r="A37" s="9">
        <v>2.2012054E7</v>
      </c>
      <c r="B37" s="9" t="s">
        <v>265</v>
      </c>
      <c r="C37" s="9" t="s">
        <v>266</v>
      </c>
      <c r="D37" s="9" t="s">
        <v>29</v>
      </c>
      <c r="E37" s="9" t="str">
        <f>IFERROR(__xludf.DUMMYFUNCTION("IFS(REGEXMATCH(D37, ""제품|운송""), ""industrial design"", REGEXMATCH(D37, ""디지털|아이덴티티""), ""visual design"", TRUE, """")"),"visual design")</f>
        <v>visual design</v>
      </c>
      <c r="F37" s="9" t="s">
        <v>86</v>
      </c>
      <c r="G37" s="9" t="s">
        <v>87</v>
      </c>
      <c r="H37" s="9" t="s">
        <v>88</v>
      </c>
      <c r="I37" s="9" t="s">
        <v>267</v>
      </c>
      <c r="J37" s="9" t="s">
        <v>23</v>
      </c>
      <c r="K37" s="10"/>
      <c r="L37" s="9" t="s">
        <v>268</v>
      </c>
      <c r="M37" s="9" t="s">
        <v>264</v>
      </c>
      <c r="N37" s="7" t="s">
        <v>25</v>
      </c>
    </row>
    <row r="38" ht="22.5" customHeight="1">
      <c r="A38" s="9">
        <v>2.2012057E7</v>
      </c>
      <c r="B38" s="9" t="s">
        <v>269</v>
      </c>
      <c r="C38" s="9" t="s">
        <v>270</v>
      </c>
      <c r="D38" s="9" t="s">
        <v>38</v>
      </c>
      <c r="E38" s="9" t="str">
        <f>IFERROR(__xludf.DUMMYFUNCTION("IFS(REGEXMATCH(D38, ""제품|운송""), ""industrial design"", REGEXMATCH(D38, ""디지털|아이덴티티""), ""visual design"", TRUE, """")"),"industrial design")</f>
        <v>industrial design</v>
      </c>
      <c r="F38" s="9" t="s">
        <v>165</v>
      </c>
      <c r="G38" s="9" t="s">
        <v>166</v>
      </c>
      <c r="H38" s="9" t="s">
        <v>167</v>
      </c>
      <c r="I38" s="9" t="s">
        <v>271</v>
      </c>
      <c r="J38" s="9" t="s">
        <v>23</v>
      </c>
      <c r="K38" s="10"/>
      <c r="L38" s="9" t="s">
        <v>148</v>
      </c>
      <c r="M38" s="9" t="s">
        <v>178</v>
      </c>
      <c r="N38" s="7" t="s">
        <v>25</v>
      </c>
    </row>
    <row r="39" ht="22.5" customHeight="1">
      <c r="A39" s="9">
        <v>2.2012058E7</v>
      </c>
      <c r="B39" s="9" t="s">
        <v>272</v>
      </c>
      <c r="C39" s="9" t="s">
        <v>273</v>
      </c>
      <c r="D39" s="9" t="s">
        <v>29</v>
      </c>
      <c r="E39" s="9" t="str">
        <f>IFERROR(__xludf.DUMMYFUNCTION("IFS(REGEXMATCH(D39, ""제품|운송""), ""industrial design"", REGEXMATCH(D39, ""디지털|아이덴티티""), ""visual design"", TRUE, """")"),"visual design")</f>
        <v>visual design</v>
      </c>
      <c r="F39" s="9" t="s">
        <v>159</v>
      </c>
      <c r="G39" s="9" t="s">
        <v>160</v>
      </c>
      <c r="H39" s="9" t="s">
        <v>161</v>
      </c>
      <c r="I39" s="9" t="s">
        <v>274</v>
      </c>
      <c r="J39" s="9" t="s">
        <v>23</v>
      </c>
      <c r="K39" s="10"/>
      <c r="L39" s="9" t="s">
        <v>259</v>
      </c>
      <c r="M39" s="9" t="s">
        <v>118</v>
      </c>
      <c r="N39" s="7" t="s">
        <v>25</v>
      </c>
    </row>
    <row r="40" ht="22.5" customHeight="1">
      <c r="A40" s="7">
        <v>2.2012059E7</v>
      </c>
      <c r="B40" s="7" t="s">
        <v>275</v>
      </c>
      <c r="C40" s="7" t="s">
        <v>276</v>
      </c>
      <c r="D40" s="7" t="s">
        <v>38</v>
      </c>
      <c r="E40" s="7" t="str">
        <f>IFERROR(__xludf.DUMMYFUNCTION("IFS(REGEXMATCH(D40, ""제품|운송""), ""industrial design"", REGEXMATCH(D40, ""디지털|아이덴티티""), ""visual design"", TRUE, """")"),"industrial design")</f>
        <v>industrial design</v>
      </c>
      <c r="F40" s="7" t="s">
        <v>128</v>
      </c>
      <c r="G40" s="7" t="s">
        <v>129</v>
      </c>
      <c r="H40" s="7" t="s">
        <v>130</v>
      </c>
      <c r="I40" s="7" t="s">
        <v>277</v>
      </c>
      <c r="J40" s="7" t="s">
        <v>23</v>
      </c>
      <c r="L40" s="7" t="s">
        <v>278</v>
      </c>
      <c r="M40" s="7" t="s">
        <v>279</v>
      </c>
      <c r="N40" s="7" t="s">
        <v>25</v>
      </c>
    </row>
    <row r="41" ht="22.5" customHeight="1">
      <c r="A41" s="9">
        <v>2.201206E7</v>
      </c>
      <c r="B41" s="9" t="s">
        <v>280</v>
      </c>
      <c r="C41" s="9" t="s">
        <v>281</v>
      </c>
      <c r="D41" s="9" t="s">
        <v>29</v>
      </c>
      <c r="E41" s="9" t="str">
        <f>IFERROR(__xludf.DUMMYFUNCTION("IFS(REGEXMATCH(D41, ""제품|운송""), ""industrial design"", REGEXMATCH(D41, ""디지털|아이덴티티""), ""visual design"", TRUE, """")"),"visual design")</f>
        <v>visual design</v>
      </c>
      <c r="F41" s="9" t="s">
        <v>282</v>
      </c>
      <c r="G41" s="9" t="s">
        <v>283</v>
      </c>
      <c r="H41" s="9" t="s">
        <v>284</v>
      </c>
      <c r="I41" s="9" t="s">
        <v>285</v>
      </c>
      <c r="J41" s="9" t="s">
        <v>23</v>
      </c>
      <c r="K41" s="10"/>
      <c r="L41" s="9" t="s">
        <v>286</v>
      </c>
      <c r="M41" s="9" t="s">
        <v>287</v>
      </c>
      <c r="N41" s="7" t="s">
        <v>25</v>
      </c>
    </row>
    <row r="42" ht="22.5" customHeight="1">
      <c r="A42" s="9">
        <v>2.2012064E7</v>
      </c>
      <c r="B42" s="9" t="s">
        <v>288</v>
      </c>
      <c r="C42" s="9" t="s">
        <v>289</v>
      </c>
      <c r="D42" s="9" t="s">
        <v>29</v>
      </c>
      <c r="E42" s="9" t="str">
        <f>IFERROR(__xludf.DUMMYFUNCTION("IFS(REGEXMATCH(D42, ""제품|운송""), ""industrial design"", REGEXMATCH(D42, ""디지털|아이덴티티""), ""visual design"", TRUE, """")"),"visual design")</f>
        <v>visual design</v>
      </c>
      <c r="F42" s="9" t="s">
        <v>290</v>
      </c>
      <c r="G42" s="9" t="s">
        <v>291</v>
      </c>
      <c r="H42" s="9" t="s">
        <v>292</v>
      </c>
      <c r="I42" s="9" t="s">
        <v>293</v>
      </c>
      <c r="J42" s="9" t="s">
        <v>23</v>
      </c>
      <c r="K42" s="10"/>
      <c r="L42" s="9" t="s">
        <v>294</v>
      </c>
      <c r="M42" s="9" t="s">
        <v>295</v>
      </c>
      <c r="N42" s="7" t="s">
        <v>25</v>
      </c>
    </row>
    <row r="43" ht="22.5" customHeight="1">
      <c r="A43" s="9">
        <v>2.2012066E7</v>
      </c>
      <c r="B43" s="9" t="s">
        <v>296</v>
      </c>
      <c r="C43" s="9" t="s">
        <v>297</v>
      </c>
      <c r="D43" s="9" t="s">
        <v>29</v>
      </c>
      <c r="E43" s="9" t="str">
        <f>IFERROR(__xludf.DUMMYFUNCTION("IFS(REGEXMATCH(D43, ""제품|운송""), ""industrial design"", REGEXMATCH(D43, ""디지털|아이덴티티""), ""visual design"", TRUE, """")"),"visual design")</f>
        <v>visual design</v>
      </c>
      <c r="F43" s="9" t="s">
        <v>298</v>
      </c>
      <c r="G43" s="9" t="s">
        <v>299</v>
      </c>
      <c r="H43" s="9" t="s">
        <v>300</v>
      </c>
      <c r="I43" s="9" t="s">
        <v>301</v>
      </c>
      <c r="J43" s="9" t="s">
        <v>23</v>
      </c>
      <c r="K43" s="10"/>
      <c r="L43" s="9" t="s">
        <v>302</v>
      </c>
      <c r="M43" s="9" t="s">
        <v>303</v>
      </c>
      <c r="N43" s="7" t="s">
        <v>25</v>
      </c>
    </row>
    <row r="44" ht="22.5" customHeight="1">
      <c r="A44" s="9">
        <v>2.2012067E7</v>
      </c>
      <c r="B44" s="9" t="s">
        <v>304</v>
      </c>
      <c r="C44" s="9" t="s">
        <v>305</v>
      </c>
      <c r="D44" s="9" t="s">
        <v>29</v>
      </c>
      <c r="E44" s="9" t="str">
        <f>IFERROR(__xludf.DUMMYFUNCTION("IFS(REGEXMATCH(D44, ""제품|운송""), ""industrial design"", REGEXMATCH(D44, ""디지털|아이덴티티""), ""visual design"", TRUE, """")"),"visual design")</f>
        <v>visual design</v>
      </c>
      <c r="F44" s="9" t="s">
        <v>306</v>
      </c>
      <c r="G44" s="9" t="s">
        <v>307</v>
      </c>
      <c r="H44" s="9" t="s">
        <v>308</v>
      </c>
      <c r="I44" s="9" t="s">
        <v>309</v>
      </c>
      <c r="J44" s="9" t="s">
        <v>23</v>
      </c>
      <c r="K44" s="10"/>
      <c r="L44" s="9" t="s">
        <v>310</v>
      </c>
      <c r="M44" s="9" t="s">
        <v>83</v>
      </c>
      <c r="N44" s="7" t="s">
        <v>25</v>
      </c>
    </row>
    <row r="45" ht="22.5" customHeight="1">
      <c r="A45" s="9">
        <v>2.2012068E7</v>
      </c>
      <c r="B45" s="9" t="s">
        <v>311</v>
      </c>
      <c r="C45" s="9" t="s">
        <v>312</v>
      </c>
      <c r="D45" s="9" t="s">
        <v>29</v>
      </c>
      <c r="E45" s="9" t="str">
        <f>IFERROR(__xludf.DUMMYFUNCTION("IFS(REGEXMATCH(D45, ""제품|운송""), ""industrial design"", REGEXMATCH(D45, ""디지털|아이덴티티""), ""visual design"", TRUE, """")"),"visual design")</f>
        <v>visual design</v>
      </c>
      <c r="F45" s="9" t="s">
        <v>313</v>
      </c>
      <c r="G45" s="9" t="s">
        <v>314</v>
      </c>
      <c r="H45" s="9" t="s">
        <v>315</v>
      </c>
      <c r="I45" s="9" t="s">
        <v>316</v>
      </c>
      <c r="J45" s="9" t="s">
        <v>23</v>
      </c>
      <c r="K45" s="10"/>
      <c r="L45" s="9" t="s">
        <v>90</v>
      </c>
      <c r="M45" s="9" t="s">
        <v>125</v>
      </c>
      <c r="N45" s="7" t="s">
        <v>25</v>
      </c>
    </row>
    <row r="46" ht="22.5" customHeight="1">
      <c r="A46" s="7">
        <v>2.2012069E7</v>
      </c>
      <c r="B46" s="7" t="s">
        <v>317</v>
      </c>
      <c r="C46" s="7" t="s">
        <v>318</v>
      </c>
      <c r="D46" s="7" t="s">
        <v>29</v>
      </c>
      <c r="E46" s="7" t="str">
        <f>IFERROR(__xludf.DUMMYFUNCTION("IFS(REGEXMATCH(D46, ""제품|운송""), ""industrial design"", REGEXMATCH(D46, ""디지털|아이덴티티""), ""visual design"", TRUE, """")"),"visual design")</f>
        <v>visual design</v>
      </c>
      <c r="F46" s="7" t="s">
        <v>30</v>
      </c>
      <c r="G46" s="7" t="s">
        <v>31</v>
      </c>
      <c r="H46" s="7" t="s">
        <v>32</v>
      </c>
      <c r="I46" s="7" t="s">
        <v>319</v>
      </c>
      <c r="J46" s="7" t="s">
        <v>23</v>
      </c>
      <c r="L46" s="7" t="s">
        <v>320</v>
      </c>
      <c r="M46" s="7" t="s">
        <v>321</v>
      </c>
      <c r="N46" s="7" t="s">
        <v>25</v>
      </c>
    </row>
    <row r="47" ht="22.5" customHeight="1">
      <c r="A47" s="9">
        <v>2.201207E7</v>
      </c>
      <c r="B47" s="9" t="s">
        <v>322</v>
      </c>
      <c r="C47" s="9" t="s">
        <v>323</v>
      </c>
      <c r="D47" s="9" t="s">
        <v>38</v>
      </c>
      <c r="E47" s="9" t="str">
        <f>IFERROR(__xludf.DUMMYFUNCTION("IFS(REGEXMATCH(D47, ""제품|운송""), ""industrial design"", REGEXMATCH(D47, ""디지털|아이덴티티""), ""visual design"", TRUE, """")"),"industrial design")</f>
        <v>industrial design</v>
      </c>
      <c r="F47" s="9" t="s">
        <v>324</v>
      </c>
      <c r="G47" s="9" t="s">
        <v>325</v>
      </c>
      <c r="H47" s="9" t="s">
        <v>326</v>
      </c>
      <c r="I47" s="9" t="s">
        <v>327</v>
      </c>
      <c r="J47" s="9" t="s">
        <v>23</v>
      </c>
      <c r="K47" s="10"/>
      <c r="L47" s="9" t="s">
        <v>278</v>
      </c>
      <c r="M47" s="9" t="s">
        <v>279</v>
      </c>
      <c r="N47" s="7" t="s">
        <v>25</v>
      </c>
    </row>
    <row r="48" ht="22.5" customHeight="1">
      <c r="A48" s="9">
        <v>2.2012072E7</v>
      </c>
      <c r="B48" s="9" t="s">
        <v>328</v>
      </c>
      <c r="C48" s="9" t="s">
        <v>329</v>
      </c>
      <c r="D48" s="9" t="s">
        <v>29</v>
      </c>
      <c r="E48" s="9" t="str">
        <f>IFERROR(__xludf.DUMMYFUNCTION("IFS(REGEXMATCH(D48, ""제품|운송""), ""industrial design"", REGEXMATCH(D48, ""디지털|아이덴티티""), ""visual design"", TRUE, """")"),"visual design")</f>
        <v>visual design</v>
      </c>
      <c r="F48" s="9" t="s">
        <v>198</v>
      </c>
      <c r="G48" s="9" t="s">
        <v>199</v>
      </c>
      <c r="H48" s="9" t="s">
        <v>200</v>
      </c>
      <c r="I48" s="9" t="s">
        <v>330</v>
      </c>
      <c r="J48" s="9" t="s">
        <v>23</v>
      </c>
      <c r="K48" s="10"/>
      <c r="L48" s="9" t="s">
        <v>182</v>
      </c>
      <c r="M48" s="9" t="s">
        <v>303</v>
      </c>
      <c r="N48" s="7" t="s">
        <v>25</v>
      </c>
    </row>
    <row r="49" ht="22.5" customHeight="1">
      <c r="A49" s="7">
        <v>2.2012073E7</v>
      </c>
      <c r="B49" s="7" t="s">
        <v>331</v>
      </c>
      <c r="C49" s="7" t="s">
        <v>332</v>
      </c>
      <c r="D49" s="7" t="s">
        <v>29</v>
      </c>
      <c r="E49" s="7" t="str">
        <f>IFERROR(__xludf.DUMMYFUNCTION("IFS(REGEXMATCH(D49, ""제품|운송""), ""industrial design"", REGEXMATCH(D49, ""디지털|아이덴티티""), ""visual design"", TRUE, """")"),"visual design")</f>
        <v>visual design</v>
      </c>
      <c r="F49" s="7" t="s">
        <v>282</v>
      </c>
      <c r="G49" s="7" t="s">
        <v>283</v>
      </c>
      <c r="H49" s="7" t="s">
        <v>284</v>
      </c>
      <c r="I49" s="7" t="s">
        <v>333</v>
      </c>
      <c r="J49" s="7" t="s">
        <v>23</v>
      </c>
      <c r="L49" s="7" t="s">
        <v>302</v>
      </c>
      <c r="M49" s="7" t="s">
        <v>303</v>
      </c>
      <c r="N49" s="7" t="s">
        <v>25</v>
      </c>
    </row>
    <row r="50" ht="22.5" customHeight="1">
      <c r="A50" s="9">
        <v>2.2012074E7</v>
      </c>
      <c r="B50" s="9" t="s">
        <v>334</v>
      </c>
      <c r="C50" s="9" t="s">
        <v>335</v>
      </c>
      <c r="D50" s="9" t="s">
        <v>29</v>
      </c>
      <c r="E50" s="9" t="str">
        <f>IFERROR(__xludf.DUMMYFUNCTION("IFS(REGEXMATCH(D50, ""제품|운송""), ""industrial design"", REGEXMATCH(D50, ""디지털|아이덴티티""), ""visual design"", TRUE, """")"),"visual design")</f>
        <v>visual design</v>
      </c>
      <c r="F50" s="9" t="s">
        <v>298</v>
      </c>
      <c r="G50" s="9" t="s">
        <v>299</v>
      </c>
      <c r="H50" s="9" t="s">
        <v>300</v>
      </c>
      <c r="I50" s="9" t="s">
        <v>336</v>
      </c>
      <c r="J50" s="9" t="s">
        <v>23</v>
      </c>
      <c r="K50" s="10"/>
      <c r="L50" s="9" t="s">
        <v>320</v>
      </c>
      <c r="M50" s="9" t="s">
        <v>202</v>
      </c>
      <c r="N50" s="7" t="s">
        <v>25</v>
      </c>
    </row>
    <row r="51" ht="22.5" customHeight="1">
      <c r="A51" s="7">
        <v>2.2012076E7</v>
      </c>
      <c r="B51" s="7" t="s">
        <v>337</v>
      </c>
      <c r="C51" s="7" t="s">
        <v>338</v>
      </c>
      <c r="D51" s="7" t="s">
        <v>29</v>
      </c>
      <c r="E51" s="7" t="str">
        <f>IFERROR(__xludf.DUMMYFUNCTION("IFS(REGEXMATCH(D51, ""제품|운송""), ""industrial design"", REGEXMATCH(D51, ""디지털|아이덴티티""), ""visual design"", TRUE, """")"),"visual design")</f>
        <v>visual design</v>
      </c>
      <c r="F51" s="7" t="s">
        <v>290</v>
      </c>
      <c r="G51" s="7" t="s">
        <v>291</v>
      </c>
      <c r="H51" s="7" t="s">
        <v>292</v>
      </c>
      <c r="I51" s="7" t="s">
        <v>339</v>
      </c>
      <c r="J51" s="7" t="s">
        <v>23</v>
      </c>
      <c r="L51" s="7" t="s">
        <v>268</v>
      </c>
      <c r="M51" s="7" t="s">
        <v>321</v>
      </c>
      <c r="N51" s="7" t="s">
        <v>25</v>
      </c>
    </row>
    <row r="52" ht="22.5" customHeight="1">
      <c r="A52" s="9">
        <v>2.2012077E7</v>
      </c>
      <c r="B52" s="9" t="s">
        <v>340</v>
      </c>
      <c r="C52" s="9" t="s">
        <v>341</v>
      </c>
      <c r="D52" s="9" t="s">
        <v>29</v>
      </c>
      <c r="E52" s="9" t="str">
        <f>IFERROR(__xludf.DUMMYFUNCTION("IFS(REGEXMATCH(D52, ""제품|운송""), ""industrial design"", REGEXMATCH(D52, ""디지털|아이덴티티""), ""visual design"", TRUE, """")"),"visual design")</f>
        <v>visual design</v>
      </c>
      <c r="F52" s="9" t="s">
        <v>342</v>
      </c>
      <c r="G52" s="9" t="s">
        <v>343</v>
      </c>
      <c r="H52" s="9" t="s">
        <v>344</v>
      </c>
      <c r="I52" s="9" t="s">
        <v>345</v>
      </c>
      <c r="J52" s="9" t="s">
        <v>23</v>
      </c>
      <c r="K52" s="10"/>
      <c r="L52" s="9" t="s">
        <v>320</v>
      </c>
      <c r="M52" s="9" t="s">
        <v>321</v>
      </c>
      <c r="N52" s="7" t="s">
        <v>25</v>
      </c>
    </row>
    <row r="53" ht="22.5" customHeight="1">
      <c r="A53" s="9">
        <v>2.2012078E7</v>
      </c>
      <c r="B53" s="9" t="s">
        <v>346</v>
      </c>
      <c r="C53" s="9" t="s">
        <v>347</v>
      </c>
      <c r="D53" s="9" t="s">
        <v>29</v>
      </c>
      <c r="E53" s="9" t="str">
        <f>IFERROR(__xludf.DUMMYFUNCTION("IFS(REGEXMATCH(D53, ""제품|운송""), ""industrial design"", REGEXMATCH(D53, ""디지털|아이덴티티""), ""visual design"", TRUE, """")"),"visual design")</f>
        <v>visual design</v>
      </c>
      <c r="F53" s="9" t="s">
        <v>348</v>
      </c>
      <c r="G53" s="9" t="s">
        <v>349</v>
      </c>
      <c r="H53" s="9" t="s">
        <v>350</v>
      </c>
      <c r="I53" s="9" t="s">
        <v>351</v>
      </c>
      <c r="J53" s="9" t="s">
        <v>23</v>
      </c>
      <c r="K53" s="10"/>
      <c r="L53" s="9" t="s">
        <v>286</v>
      </c>
      <c r="M53" s="9" t="s">
        <v>287</v>
      </c>
      <c r="N53" s="7" t="s">
        <v>25</v>
      </c>
    </row>
    <row r="54" ht="22.5" customHeight="1">
      <c r="A54" s="9">
        <v>2.2012081E7</v>
      </c>
      <c r="B54" s="9" t="s">
        <v>352</v>
      </c>
      <c r="C54" s="9" t="s">
        <v>353</v>
      </c>
      <c r="D54" s="9" t="s">
        <v>29</v>
      </c>
      <c r="E54" s="9" t="str">
        <f>IFERROR(__xludf.DUMMYFUNCTION("IFS(REGEXMATCH(D54, ""제품|운송""), ""industrial design"", REGEXMATCH(D54, ""디지털|아이덴티티""), ""visual design"", TRUE, """")"),"visual design")</f>
        <v>visual design</v>
      </c>
      <c r="F54" s="9" t="s">
        <v>354</v>
      </c>
      <c r="G54" s="9" t="s">
        <v>355</v>
      </c>
      <c r="H54" s="9" t="s">
        <v>356</v>
      </c>
      <c r="I54" s="9" t="s">
        <v>357</v>
      </c>
      <c r="J54" s="9" t="s">
        <v>23</v>
      </c>
      <c r="K54" s="10"/>
      <c r="L54" s="9" t="s">
        <v>294</v>
      </c>
      <c r="M54" s="9" t="s">
        <v>295</v>
      </c>
      <c r="N54" s="7" t="s">
        <v>25</v>
      </c>
    </row>
    <row r="55" ht="22.5" customHeight="1">
      <c r="A55" s="9">
        <v>2.2012082E7</v>
      </c>
      <c r="B55" s="9" t="s">
        <v>358</v>
      </c>
      <c r="C55" s="9" t="s">
        <v>359</v>
      </c>
      <c r="D55" s="9" t="s">
        <v>29</v>
      </c>
      <c r="E55" s="9" t="str">
        <f>IFERROR(__xludf.DUMMYFUNCTION("IFS(REGEXMATCH(D55, ""제품|운송""), ""industrial design"", REGEXMATCH(D55, ""디지털|아이덴티티""), ""visual design"", TRUE, """")"),"visual design")</f>
        <v>visual design</v>
      </c>
      <c r="F55" s="9" t="s">
        <v>220</v>
      </c>
      <c r="G55" s="9" t="s">
        <v>221</v>
      </c>
      <c r="H55" s="9" t="s">
        <v>222</v>
      </c>
      <c r="I55" s="9" t="s">
        <v>360</v>
      </c>
      <c r="J55" s="9" t="s">
        <v>23</v>
      </c>
      <c r="K55" s="10"/>
      <c r="L55" s="9" t="s">
        <v>310</v>
      </c>
      <c r="M55" s="9" t="s">
        <v>83</v>
      </c>
      <c r="N55" s="7" t="s">
        <v>25</v>
      </c>
    </row>
    <row r="56" ht="22.5" customHeight="1">
      <c r="A56" s="7">
        <v>2.2013287E7</v>
      </c>
      <c r="B56" s="7" t="s">
        <v>361</v>
      </c>
      <c r="C56" s="7" t="s">
        <v>362</v>
      </c>
      <c r="D56" s="7" t="s">
        <v>29</v>
      </c>
      <c r="E56" s="7" t="str">
        <f>IFERROR(__xludf.DUMMYFUNCTION("IFS(REGEXMATCH(D56, ""제품|운송""), ""industrial design"", REGEXMATCH(D56, ""디지털|아이덴티티""), ""visual design"", TRUE, """")"),"visual design")</f>
        <v>visual design</v>
      </c>
      <c r="F56" s="7" t="s">
        <v>128</v>
      </c>
      <c r="G56" s="7" t="s">
        <v>129</v>
      </c>
      <c r="H56" s="7" t="s">
        <v>130</v>
      </c>
      <c r="I56" s="7" t="s">
        <v>363</v>
      </c>
      <c r="J56" s="7" t="s">
        <v>23</v>
      </c>
      <c r="L56" s="7" t="s">
        <v>364</v>
      </c>
      <c r="M56" s="7" t="s">
        <v>110</v>
      </c>
      <c r="N56" s="7" t="s">
        <v>25</v>
      </c>
    </row>
    <row r="57" ht="22.5" customHeight="1">
      <c r="A57" s="9">
        <v>2.2013289E7</v>
      </c>
      <c r="B57" s="9" t="s">
        <v>365</v>
      </c>
      <c r="C57" s="9" t="s">
        <v>366</v>
      </c>
      <c r="D57" s="9" t="s">
        <v>38</v>
      </c>
      <c r="E57" s="9" t="str">
        <f>IFERROR(__xludf.DUMMYFUNCTION("IFS(REGEXMATCH(D57, ""제품|운송""), ""industrial design"", REGEXMATCH(D57, ""디지털|아이덴티티""), ""visual design"", TRUE, """")"),"industrial design")</f>
        <v>industrial design</v>
      </c>
      <c r="F57" s="9" t="s">
        <v>367</v>
      </c>
      <c r="G57" s="9" t="s">
        <v>368</v>
      </c>
      <c r="H57" s="9" t="s">
        <v>369</v>
      </c>
      <c r="I57" s="9" t="s">
        <v>370</v>
      </c>
      <c r="J57" s="9" t="s">
        <v>23</v>
      </c>
      <c r="K57" s="10"/>
      <c r="L57" s="9" t="s">
        <v>371</v>
      </c>
      <c r="M57" s="9" t="s">
        <v>178</v>
      </c>
      <c r="N57" s="7" t="s">
        <v>25</v>
      </c>
    </row>
    <row r="58" ht="22.5" customHeight="1">
      <c r="A58" s="7">
        <v>2.2013368E7</v>
      </c>
      <c r="B58" s="7" t="s">
        <v>372</v>
      </c>
      <c r="C58" s="7" t="s">
        <v>373</v>
      </c>
      <c r="D58" s="7" t="s">
        <v>38</v>
      </c>
      <c r="E58" s="7" t="str">
        <f>IFERROR(__xludf.DUMMYFUNCTION("IFS(REGEXMATCH(D58, ""제품|운송""), ""industrial design"", REGEXMATCH(D58, ""디지털|아이덴티티""), ""visual design"", TRUE, """")"),"industrial design")</f>
        <v>industrial design</v>
      </c>
      <c r="F58" s="7" t="s">
        <v>86</v>
      </c>
      <c r="G58" s="7" t="s">
        <v>87</v>
      </c>
      <c r="H58" s="7" t="s">
        <v>88</v>
      </c>
      <c r="I58" s="7" t="s">
        <v>374</v>
      </c>
      <c r="J58" s="7" t="s">
        <v>23</v>
      </c>
      <c r="L58" s="7" t="s">
        <v>371</v>
      </c>
      <c r="M58" s="7" t="s">
        <v>375</v>
      </c>
      <c r="N58" s="7" t="s">
        <v>25</v>
      </c>
    </row>
    <row r="59" ht="22.5" customHeight="1">
      <c r="A59" s="9">
        <v>2.2013404E7</v>
      </c>
      <c r="B59" s="9" t="s">
        <v>376</v>
      </c>
      <c r="C59" s="9" t="s">
        <v>377</v>
      </c>
      <c r="D59" s="9" t="s">
        <v>38</v>
      </c>
      <c r="E59" s="9" t="str">
        <f>IFERROR(__xludf.DUMMYFUNCTION("IFS(REGEXMATCH(D59, ""제품|운송""), ""industrial design"", REGEXMATCH(D59, ""디지털|아이덴티티""), ""visual design"", TRUE, """")"),"industrial design")</f>
        <v>industrial design</v>
      </c>
      <c r="F59" s="9" t="s">
        <v>378</v>
      </c>
      <c r="G59" s="9" t="s">
        <v>379</v>
      </c>
      <c r="H59" s="9" t="s">
        <v>380</v>
      </c>
      <c r="I59" s="9" t="s">
        <v>381</v>
      </c>
      <c r="J59" s="9" t="s">
        <v>23</v>
      </c>
      <c r="K59" s="10"/>
      <c r="L59" s="9" t="s">
        <v>132</v>
      </c>
      <c r="M59" s="9" t="s">
        <v>375</v>
      </c>
      <c r="N59" s="7" t="s">
        <v>25</v>
      </c>
    </row>
    <row r="60" ht="22.5" customHeight="1">
      <c r="A60" s="9">
        <v>2.2013525E7</v>
      </c>
      <c r="B60" s="9" t="s">
        <v>382</v>
      </c>
      <c r="C60" s="9" t="s">
        <v>383</v>
      </c>
      <c r="D60" s="9" t="s">
        <v>38</v>
      </c>
      <c r="E60" s="9" t="str">
        <f>IFERROR(__xludf.DUMMYFUNCTION("IFS(REGEXMATCH(D60, ""제품|운송""), ""industrial design"", REGEXMATCH(D60, ""디지털|아이덴티티""), ""visual design"", TRUE, """")"),"industrial design")</f>
        <v>industrial design</v>
      </c>
      <c r="F60" s="9" t="s">
        <v>384</v>
      </c>
      <c r="G60" s="9" t="s">
        <v>385</v>
      </c>
      <c r="H60" s="9" t="s">
        <v>386</v>
      </c>
      <c r="I60" s="9" t="s">
        <v>387</v>
      </c>
      <c r="J60" s="9" t="s">
        <v>23</v>
      </c>
      <c r="K60" s="10"/>
      <c r="L60" s="9" t="s">
        <v>43</v>
      </c>
      <c r="M60" s="9" t="s">
        <v>195</v>
      </c>
      <c r="N60" s="7" t="s">
        <v>25</v>
      </c>
    </row>
    <row r="61" ht="22.5" customHeight="1">
      <c r="A61" s="7">
        <v>2.2013628E7</v>
      </c>
      <c r="B61" s="7" t="s">
        <v>388</v>
      </c>
      <c r="C61" s="7" t="s">
        <v>389</v>
      </c>
      <c r="D61" s="7" t="s">
        <v>29</v>
      </c>
      <c r="E61" s="7" t="str">
        <f>IFERROR(__xludf.DUMMYFUNCTION("IFS(REGEXMATCH(D61, ""제품|운송""), ""industrial design"", REGEXMATCH(D61, ""디지털|아이덴티티""), ""visual design"", TRUE, """")"),"visual design")</f>
        <v>visual design</v>
      </c>
      <c r="F61" s="7" t="s">
        <v>282</v>
      </c>
      <c r="G61" s="7" t="s">
        <v>283</v>
      </c>
      <c r="H61" s="7" t="s">
        <v>284</v>
      </c>
      <c r="I61" s="7" t="s">
        <v>390</v>
      </c>
      <c r="J61" s="7" t="s">
        <v>23</v>
      </c>
      <c r="L61" s="7" t="s">
        <v>391</v>
      </c>
      <c r="M61" s="7" t="s">
        <v>392</v>
      </c>
      <c r="N61" s="7" t="s">
        <v>25</v>
      </c>
    </row>
    <row r="62" ht="22.5" customHeight="1">
      <c r="A62" s="7">
        <v>2.2013629E7</v>
      </c>
      <c r="B62" s="7" t="s">
        <v>393</v>
      </c>
      <c r="C62" s="7" t="s">
        <v>394</v>
      </c>
      <c r="D62" s="7" t="s">
        <v>29</v>
      </c>
      <c r="E62" s="7" t="str">
        <f>IFERROR(__xludf.DUMMYFUNCTION("IFS(REGEXMATCH(D62, ""제품|운송""), ""industrial design"", REGEXMATCH(D62, ""디지털|아이덴티티""), ""visual design"", TRUE, """")"),"visual design")</f>
        <v>visual design</v>
      </c>
      <c r="F62" s="7" t="s">
        <v>144</v>
      </c>
      <c r="G62" s="7" t="s">
        <v>145</v>
      </c>
      <c r="H62" s="7" t="s">
        <v>146</v>
      </c>
      <c r="I62" s="7" t="s">
        <v>395</v>
      </c>
      <c r="J62" s="7" t="s">
        <v>23</v>
      </c>
      <c r="L62" s="7" t="s">
        <v>391</v>
      </c>
      <c r="M62" s="7" t="s">
        <v>392</v>
      </c>
      <c r="N62" s="7" t="s">
        <v>25</v>
      </c>
    </row>
    <row r="63" ht="22.5" customHeight="1">
      <c r="A63" s="7">
        <v>2.3013244E7</v>
      </c>
      <c r="B63" s="7" t="s">
        <v>396</v>
      </c>
      <c r="C63" s="7" t="s">
        <v>397</v>
      </c>
      <c r="D63" s="7" t="s">
        <v>29</v>
      </c>
      <c r="E63" s="7" t="str">
        <f>IFERROR(__xludf.DUMMYFUNCTION("IFS(REGEXMATCH(D63, ""제품|운송""), ""industrial design"", REGEXMATCH(D63, ""디지털|아이덴티티""), ""visual design"", TRUE, """")"),"visual design")</f>
        <v>visual design</v>
      </c>
      <c r="F63" s="7" t="s">
        <v>398</v>
      </c>
      <c r="G63" s="7" t="s">
        <v>399</v>
      </c>
      <c r="H63" s="7" t="s">
        <v>400</v>
      </c>
      <c r="I63" s="7" t="s">
        <v>401</v>
      </c>
      <c r="J63" s="7" t="s">
        <v>23</v>
      </c>
      <c r="L63" s="7" t="s">
        <v>402</v>
      </c>
      <c r="M63" s="7" t="s">
        <v>403</v>
      </c>
      <c r="N63" s="7" t="s">
        <v>25</v>
      </c>
    </row>
    <row r="64" ht="22.5" customHeight="1">
      <c r="A64" s="7">
        <v>2.3013415E7</v>
      </c>
      <c r="B64" s="7" t="s">
        <v>404</v>
      </c>
      <c r="C64" s="7" t="s">
        <v>405</v>
      </c>
      <c r="D64" s="7" t="s">
        <v>29</v>
      </c>
      <c r="E64" s="7" t="str">
        <f>IFERROR(__xludf.DUMMYFUNCTION("IFS(REGEXMATCH(D64, ""제품|운송""), ""industrial design"", REGEXMATCH(D64, ""디지털|아이덴티티""), ""visual design"", TRUE, """")"),"visual design")</f>
        <v>visual design</v>
      </c>
      <c r="F64" s="7" t="s">
        <v>79</v>
      </c>
      <c r="G64" s="7" t="s">
        <v>80</v>
      </c>
      <c r="H64" s="7" t="s">
        <v>81</v>
      </c>
      <c r="I64" s="7" t="s">
        <v>406</v>
      </c>
      <c r="J64" s="7" t="s">
        <v>23</v>
      </c>
      <c r="L64" s="7" t="s">
        <v>402</v>
      </c>
      <c r="M64" s="7" t="s">
        <v>403</v>
      </c>
      <c r="N64" s="7" t="s">
        <v>25</v>
      </c>
    </row>
    <row r="65" ht="22.5" customHeight="1">
      <c r="A65" s="9">
        <v>2.3013472E7</v>
      </c>
      <c r="B65" s="9" t="s">
        <v>407</v>
      </c>
      <c r="C65" s="9" t="s">
        <v>408</v>
      </c>
      <c r="D65" s="9" t="s">
        <v>38</v>
      </c>
      <c r="E65" s="9" t="str">
        <f>IFERROR(__xludf.DUMMYFUNCTION("IFS(REGEXMATCH(D65, ""제품|운송""), ""industrial design"", REGEXMATCH(D65, ""디지털|아이덴티티""), ""visual design"", TRUE, """")"),"industrial design")</f>
        <v>industrial design</v>
      </c>
      <c r="F65" s="9" t="s">
        <v>79</v>
      </c>
      <c r="G65" s="9" t="s">
        <v>80</v>
      </c>
      <c r="H65" s="9" t="s">
        <v>81</v>
      </c>
      <c r="I65" s="9" t="s">
        <v>409</v>
      </c>
      <c r="J65" s="9" t="s">
        <v>23</v>
      </c>
      <c r="K65" s="10"/>
      <c r="L65" s="9" t="s">
        <v>101</v>
      </c>
      <c r="M65" s="9" t="s">
        <v>102</v>
      </c>
      <c r="N65" s="7" t="s">
        <v>25</v>
      </c>
    </row>
  </sheetData>
  <drawing r:id="rId1"/>
  <tableParts count="1">
    <tablePart r:id="rId3"/>
  </tableParts>
</worksheet>
</file>